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action Comps" sheetId="1" r:id="rId4"/>
    <sheet state="visible" name="Public Comps" sheetId="2" r:id="rId5"/>
    <sheet state="visible" name="Private Comps" sheetId="3" r:id="rId6"/>
    <sheet state="visible" name="Private Comps Descriptions" sheetId="4" r:id="rId7"/>
    <sheet state="visible" name="Competitive Landscape Map" sheetId="5" r:id="rId8"/>
    <sheet state="visible" name="Potential Acquirers" sheetId="6" r:id="rId9"/>
    <sheet state="visible" name="Sheet1" sheetId="7" r:id="rId10"/>
  </sheets>
  <definedNames/>
  <calcPr/>
  <extLst>
    <ext uri="GoogleSheetsCustomDataVersion2">
      <go:sheetsCustomData xmlns:go="http://customooxmlschemas.google.com/" r:id="rId11" roundtripDataChecksum="zdklleS2KZvVR4EDkygVU0tz4c558TIrlkdp26uwpXc="/>
    </ext>
  </extLst>
</workbook>
</file>

<file path=xl/sharedStrings.xml><?xml version="1.0" encoding="utf-8"?>
<sst xmlns="http://schemas.openxmlformats.org/spreadsheetml/2006/main" count="248" uniqueCount="151">
  <si>
    <t>Name</t>
  </si>
  <si>
    <t>Valuation</t>
  </si>
  <si>
    <t>Revenue</t>
  </si>
  <si>
    <t>EV/
Revenue</t>
  </si>
  <si>
    <t xml:space="preserve">Acquiror </t>
  </si>
  <si>
    <t>Acquisition 
Date</t>
  </si>
  <si>
    <t>Last Funding Round/Raise/pre-money Valuation</t>
  </si>
  <si>
    <t>Industry Segment</t>
  </si>
  <si>
    <t>Zingle</t>
  </si>
  <si>
    <t>NA</t>
  </si>
  <si>
    <t>Medallia</t>
  </si>
  <si>
    <t>Series B/$11mm/$16mm</t>
  </si>
  <si>
    <t>Consumer Engagement</t>
  </si>
  <si>
    <t>Smooch</t>
  </si>
  <si>
    <t>Zendesk</t>
  </si>
  <si>
    <t>Seed/$10mm</t>
  </si>
  <si>
    <t>Outbound</t>
  </si>
  <si>
    <t>Salesforce Ventures</t>
  </si>
  <si>
    <t>Seed/$2mm</t>
  </si>
  <si>
    <t>Jirafe</t>
  </si>
  <si>
    <t>SAP</t>
  </si>
  <si>
    <t>Series A/$6.8M/12mm</t>
  </si>
  <si>
    <t>Ecommerce Analytics</t>
  </si>
  <si>
    <t>Zappos</t>
  </si>
  <si>
    <t>Amazon</t>
  </si>
  <si>
    <t>Series G/$90M</t>
  </si>
  <si>
    <t>Ecommerce/Retail</t>
  </si>
  <si>
    <t>Bonobos</t>
  </si>
  <si>
    <t>Walmart</t>
  </si>
  <si>
    <t>Series D/$55M/$244</t>
  </si>
  <si>
    <t>Jet</t>
  </si>
  <si>
    <t>Series B/$350/$1.05B</t>
  </si>
  <si>
    <t>Ecommerce</t>
  </si>
  <si>
    <t>Dollar Shave Club</t>
  </si>
  <si>
    <t>Unilever</t>
  </si>
  <si>
    <t>Series D/$90M/$539</t>
  </si>
  <si>
    <t>Upstream Commerce</t>
  </si>
  <si>
    <t>Flipkart</t>
  </si>
  <si>
    <t>Series A/$6.25M</t>
  </si>
  <si>
    <t>Honey</t>
  </si>
  <si>
    <t>Paypal</t>
  </si>
  <si>
    <t>Series C/$26M</t>
  </si>
  <si>
    <t>Median</t>
  </si>
  <si>
    <t>Average</t>
  </si>
  <si>
    <t>EBITDA</t>
  </si>
  <si>
    <t>Market Cap</t>
  </si>
  <si>
    <t>Enterprise Value</t>
  </si>
  <si>
    <t>EBIDTA Margin</t>
  </si>
  <si>
    <t>YOY Growth</t>
  </si>
  <si>
    <t>EV/Rev</t>
  </si>
  <si>
    <t>Customer Engagement and Service</t>
  </si>
  <si>
    <t>HubSpot</t>
  </si>
  <si>
    <t>Zuora</t>
  </si>
  <si>
    <t>Subscription Management</t>
  </si>
  <si>
    <t>Salesforce</t>
  </si>
  <si>
    <t>Customer Relationship Management</t>
  </si>
  <si>
    <t>Target</t>
  </si>
  <si>
    <t>Retail</t>
  </si>
  <si>
    <t>Shopify</t>
  </si>
  <si>
    <t>Etsy</t>
  </si>
  <si>
    <t>Total Median</t>
  </si>
  <si>
    <t>Total Average</t>
  </si>
  <si>
    <t>Unused Comps</t>
  </si>
  <si>
    <t>R</t>
  </si>
  <si>
    <t>Alteryx</t>
  </si>
  <si>
    <t>Data Analytics</t>
  </si>
  <si>
    <t>Domo</t>
  </si>
  <si>
    <t>Total Raised</t>
  </si>
  <si>
    <t>Latest Stage</t>
  </si>
  <si>
    <t>Latest Valuation ($mm)</t>
  </si>
  <si>
    <t>Notable Investors</t>
  </si>
  <si>
    <t>Replenium</t>
  </si>
  <si>
    <t>Series A</t>
  </si>
  <si>
    <t>GLP, Consumer Equity Partners</t>
  </si>
  <si>
    <t>Replenishment Software</t>
  </si>
  <si>
    <t>OrderGroove</t>
  </si>
  <si>
    <t>Series C</t>
  </si>
  <si>
    <t xml:space="preserve">SWaN &amp; Legend, SVB, Lerer Hippeau, </t>
  </si>
  <si>
    <t>Kwik</t>
  </si>
  <si>
    <t>Seed</t>
  </si>
  <si>
    <t>Alpana Ventures, Ataria Ventures, Norwest Venture Partners, Charmides Capital</t>
  </si>
  <si>
    <t>SmartCommerce</t>
  </si>
  <si>
    <t>Bright Capital, Edemic Capital, Run Capital, Valor Ventures</t>
  </si>
  <si>
    <t>Recurly</t>
  </si>
  <si>
    <t>SVB, F-Prime Ventures, Greycroft, 500 Startups</t>
  </si>
  <si>
    <t>ChargeBee</t>
  </si>
  <si>
    <t>Series D</t>
  </si>
  <si>
    <t>Insight Partners, Tiger Global, Accel</t>
  </si>
  <si>
    <t>LeanPlum</t>
  </si>
  <si>
    <t>Series D1</t>
  </si>
  <si>
    <t>Calterra Capital, Norwest Venture Partners, Canaan Partners, Kleiner Perkins, Shasta Ventures</t>
  </si>
  <si>
    <t>Marketing Software and Analytics</t>
  </si>
  <si>
    <t>Attentive</t>
  </si>
  <si>
    <t>Sequoia Capital, IVP, Bain Capital, Eniac Ventures</t>
  </si>
  <si>
    <t>Consumer Engagement and Communication Tools</t>
  </si>
  <si>
    <t>Airship</t>
  </si>
  <si>
    <t>Series F</t>
  </si>
  <si>
    <t>True Ventures, Foundry Group, QuestMark Partners, Verizon Ventures</t>
  </si>
  <si>
    <t>BigCommerce</t>
  </si>
  <si>
    <t>Goldman Sachs, General Catalyst, GGV</t>
  </si>
  <si>
    <t xml:space="preserve">Ecommerce Platform </t>
  </si>
  <si>
    <t>Description</t>
  </si>
  <si>
    <t>Developer of an identity verification system designed to check frauds and make identity management effective and simple for banks and financial institutions.</t>
  </si>
  <si>
    <t>-</t>
  </si>
  <si>
    <t xml:space="preserve"> The company's machine learning platform applies machine learning technology to large data sets to detect anomalies and highlight potential cases of fraud associated with banking and shopping, enabling users to prevent fraud.</t>
  </si>
  <si>
    <t>Information technology company that focuses on financial services and provides fraud prevention, anti-spam, and abuse analysis for businesses, companies, and industries. Its technology is designed for retail, gaming, and fintech</t>
  </si>
  <si>
    <t>Security analysis software designed to offer big data fraud detection solutions at a massive scale. The company's security analysis software utilizes unsupervised analytics to identify malicious account campaigns before conducting any damage to banks, consumer-facing web sites and mobile applications</t>
  </si>
  <si>
    <t>Provides a risk management tool for online fraud detection, forensics and ongoing risk monitoring to financial institutions such as banks, credit unions and brokerage companies, enabling users to protect their privacy.</t>
  </si>
  <si>
    <t>Platform provides real-time insights into the risk of companies globally and changes how companies assess who they're doing business with, while automating compliance and risk processes, enabling firms make intelligent risk decisions faster.</t>
  </si>
  <si>
    <t>Developer of cloud-based fraud detection and anti-money laundering software designed to identify entities that may be involved in money laundering or terrorist financing activities. Big Data/machine learning offerings analyze deposit, check, card, ACH and wire frauds, among others.</t>
  </si>
  <si>
    <t>Digital Adoption and Enablement</t>
  </si>
  <si>
    <t>Knowledge Management</t>
  </si>
  <si>
    <t>Communication</t>
  </si>
  <si>
    <t>Product Creation</t>
  </si>
  <si>
    <t>Minerva</t>
  </si>
  <si>
    <t>Spekit</t>
  </si>
  <si>
    <t>WalkMe</t>
  </si>
  <si>
    <t>Guru</t>
  </si>
  <si>
    <t>Loom</t>
  </si>
  <si>
    <t>CloudApp</t>
  </si>
  <si>
    <t>Pendo</t>
  </si>
  <si>
    <t>UserPilot</t>
  </si>
  <si>
    <t>Video</t>
  </si>
  <si>
    <t>x</t>
  </si>
  <si>
    <t>Focus on Customer Support Use Cases</t>
  </si>
  <si>
    <t>Focus on Sales, L&amp;D</t>
  </si>
  <si>
    <t>Pricing</t>
  </si>
  <si>
    <t>$0 Basic 
$10 Enterprises
$12 Premium Individuals</t>
  </si>
  <si>
    <t>$10 starter</t>
  </si>
  <si>
    <t>Enterprise</t>
  </si>
  <si>
    <t xml:space="preserve">$0 Starter
$14 Builder 
$24 Expert </t>
  </si>
  <si>
    <t>$0 basic $10 Pro
$15 Business</t>
  </si>
  <si>
    <t>$0 basic $9 Pro
$8 Business</t>
  </si>
  <si>
    <t>Desktop</t>
  </si>
  <si>
    <t>Chrome extension</t>
  </si>
  <si>
    <t>No code</t>
  </si>
  <si>
    <t>Data accessible across all websites</t>
  </si>
  <si>
    <t>Guided workflows</t>
  </si>
  <si>
    <t>Company</t>
  </si>
  <si>
    <t>Opportunity/Impact</t>
  </si>
  <si>
    <t>Intuit</t>
  </si>
  <si>
    <t>Intuit provides financial software products such as TurboTax, QuickBooks, Mint.com and Credit Karma for individuals and small businesses in the areas of tax, accounting, and credit score management. QuickBooks Capital was launched in 2017 to provide loans to small businesses.</t>
  </si>
  <si>
    <t>Intuit can improve its existing capabilities in credit score improvement and access to credit by adding the analytics and user interface that Curu offers</t>
  </si>
  <si>
    <t>Oracle</t>
  </si>
  <si>
    <t>Oracle is a large software provider to the banking industry. Within retail banking, its services allow banks to create new products and develop new channels for customer interaction.</t>
  </si>
  <si>
    <t>Oracle can expand its retail banking offerings and help its clients manage tightening credit standards while better serving consumers</t>
  </si>
  <si>
    <t>SAP is a large software provider to the banking industry, with product offerings including spend management and a platform to reach underbanked customers.</t>
  </si>
  <si>
    <t>SAP can improve its product offerings to help its banking clients save on customer acquisition costs and support financial inclusion</t>
  </si>
  <si>
    <t>FIS</t>
  </si>
  <si>
    <t>FIS is a financial software provider with offerings in banking, merchandising and capital markets. FIS is an investor in Curu.</t>
  </si>
  <si>
    <t>FIS can help its clients be more competitive in the lending market, including by helping its community banking and credit union clients modernize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</si>
</sst>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_);[Red]\(&quot;$&quot;#,##0.0\)"/>
    <numFmt numFmtId="165" formatCode="&quot;$&quot;#,##0_);[Red]\(&quot;$&quot;#,##0\)"/>
    <numFmt numFmtId="166" formatCode="&quot;$&quot;#,##0.0_);\(&quot;$&quot;#,##0.0\)"/>
    <numFmt numFmtId="167" formatCode="0%;\ \(0%\)"/>
    <numFmt numFmtId="168" formatCode="0.0\x"/>
    <numFmt numFmtId="169" formatCode="_(* #,##0_);_(* \(#,##0\);_(* &quot;-&quot;??_);_(@_)"/>
  </numFmts>
  <fonts count="17">
    <font>
      <sz val="11.0"/>
      <color theme="1"/>
      <name val="Calibri"/>
      <scheme val="minor"/>
    </font>
    <font>
      <u/>
      <sz val="11.0"/>
      <color theme="1"/>
      <name val="Calibri"/>
    </font>
    <font>
      <b/>
      <u/>
      <sz val="10.0"/>
      <color theme="0"/>
      <name val="Matter (Body)"/>
    </font>
    <font>
      <b/>
      <u/>
      <sz val="10.0"/>
      <color theme="0"/>
      <name val="Matter (Body)"/>
    </font>
    <font>
      <u/>
      <sz val="10.0"/>
      <color rgb="FF0000FF"/>
      <name val="Matter (Body)"/>
    </font>
    <font>
      <sz val="10.0"/>
      <color theme="1"/>
      <name val="Matter (Body)"/>
    </font>
    <font>
      <u/>
      <sz val="10.0"/>
      <color rgb="FF0000FF"/>
      <name val="Matter (Body)"/>
    </font>
    <font>
      <b/>
      <sz val="10.0"/>
      <color theme="1"/>
      <name val="Matter (Body)"/>
    </font>
    <font>
      <sz val="11.0"/>
      <color theme="1"/>
      <name val="Calibri"/>
    </font>
    <font>
      <sz val="11.0"/>
      <color rgb="FF000000"/>
      <name val="Calibri"/>
    </font>
    <font>
      <sz val="10.0"/>
      <color rgb="FF000000"/>
      <name val="Matter (Body)"/>
    </font>
    <font>
      <sz val="10.0"/>
      <color rgb="FFFF0000"/>
      <name val="Matter (Body)"/>
    </font>
    <font>
      <b/>
      <sz val="11.0"/>
      <color theme="1"/>
      <name val="Calibri"/>
    </font>
    <font>
      <sz val="8.0"/>
      <color theme="1"/>
      <name val="Arial"/>
    </font>
    <font>
      <color theme="1"/>
      <name val="Calibri"/>
      <scheme val="minor"/>
    </font>
    <font>
      <b/>
      <sz val="10.0"/>
      <color theme="0"/>
      <name val="Matter (Body)"/>
    </font>
    <font/>
  </fonts>
  <fills count="6">
    <fill>
      <patternFill patternType="none"/>
    </fill>
    <fill>
      <patternFill patternType="lightGray"/>
    </fill>
    <fill>
      <patternFill patternType="solid">
        <fgColor theme="4"/>
        <bgColor theme="4"/>
      </patternFill>
    </fill>
    <fill>
      <patternFill patternType="solid">
        <fgColor rgb="FFF2F2F2"/>
        <bgColor rgb="FFF2F2F2"/>
      </patternFill>
    </fill>
    <fill>
      <patternFill patternType="solid">
        <fgColor rgb="FFD6E0E3"/>
        <bgColor rgb="FFD6E0E3"/>
      </patternFill>
    </fill>
    <fill>
      <patternFill patternType="solid">
        <fgColor rgb="FFDADADA"/>
        <bgColor rgb="FFDADADA"/>
      </patternFill>
    </fill>
  </fills>
  <borders count="19">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border>
    <border>
      <left style="thin">
        <color rgb="FF000000"/>
      </left>
      <right/>
      <top/>
      <bottom/>
    </border>
    <border>
      <left/>
      <right style="thin">
        <color rgb="FF000000"/>
      </right>
      <top/>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shrinkToFit="0" wrapText="1"/>
    </xf>
    <xf borderId="1" fillId="2" fontId="3" numFmtId="0" xfId="0" applyAlignment="1" applyBorder="1" applyFont="1">
      <alignment shrinkToFit="0" wrapText="1"/>
    </xf>
    <xf borderId="0" fillId="0" fontId="4" numFmtId="0" xfId="0" applyFont="1"/>
    <xf borderId="0" fillId="0" fontId="5" numFmtId="164" xfId="0" applyAlignment="1" applyFont="1" applyNumberFormat="1">
      <alignment horizontal="center"/>
    </xf>
    <xf borderId="0" fillId="0" fontId="5" numFmtId="0" xfId="0" applyAlignment="1" applyFont="1">
      <alignment horizontal="right"/>
    </xf>
    <xf borderId="0" fillId="0" fontId="5" numFmtId="0" xfId="0" applyFont="1"/>
    <xf borderId="0" fillId="0" fontId="5" numFmtId="17" xfId="0" applyFont="1" applyNumberFormat="1"/>
    <xf borderId="1" fillId="3" fontId="6" numFmtId="0" xfId="0" applyBorder="1" applyFill="1" applyFont="1"/>
    <xf borderId="1" fillId="3" fontId="5" numFmtId="164" xfId="0" applyAlignment="1" applyBorder="1" applyFont="1" applyNumberFormat="1">
      <alignment horizontal="center"/>
    </xf>
    <xf borderId="1" fillId="3" fontId="5" numFmtId="0" xfId="0" applyAlignment="1" applyBorder="1" applyFont="1">
      <alignment horizontal="right"/>
    </xf>
    <xf borderId="1" fillId="3" fontId="5" numFmtId="0" xfId="0" applyBorder="1" applyFont="1"/>
    <xf borderId="1" fillId="3" fontId="5" numFmtId="17" xfId="0" applyBorder="1" applyFont="1" applyNumberFormat="1"/>
    <xf borderId="1" fillId="3" fontId="5" numFmtId="0" xfId="0" applyAlignment="1" applyBorder="1" applyFont="1">
      <alignment horizontal="center"/>
    </xf>
    <xf borderId="1" fillId="3" fontId="5" numFmtId="165" xfId="0" applyAlignment="1" applyBorder="1" applyFont="1" applyNumberFormat="1">
      <alignment horizontal="center"/>
    </xf>
    <xf borderId="0" fillId="0" fontId="5" numFmtId="0" xfId="0" applyAlignment="1" applyFont="1">
      <alignment horizontal="center"/>
    </xf>
    <xf borderId="2" fillId="4" fontId="7" numFmtId="0" xfId="0" applyBorder="1" applyFill="1" applyFont="1"/>
    <xf borderId="3" fillId="4" fontId="7" numFmtId="164" xfId="0" applyAlignment="1" applyBorder="1" applyFont="1" applyNumberFormat="1">
      <alignment horizontal="center"/>
    </xf>
    <xf borderId="3" fillId="4" fontId="7" numFmtId="0" xfId="0" applyAlignment="1" applyBorder="1" applyFont="1">
      <alignment horizontal="right"/>
    </xf>
    <xf borderId="3" fillId="4" fontId="7" numFmtId="0" xfId="0" applyBorder="1" applyFont="1"/>
    <xf borderId="4" fillId="4" fontId="7" numFmtId="0" xfId="0" applyBorder="1" applyFont="1"/>
    <xf borderId="5" fillId="4" fontId="7" numFmtId="0" xfId="0" applyBorder="1" applyFont="1"/>
    <xf borderId="6" fillId="4" fontId="7" numFmtId="164" xfId="0" applyAlignment="1" applyBorder="1" applyFont="1" applyNumberFormat="1">
      <alignment horizontal="center"/>
    </xf>
    <xf borderId="6" fillId="4" fontId="7" numFmtId="0" xfId="0" applyAlignment="1" applyBorder="1" applyFont="1">
      <alignment horizontal="right"/>
    </xf>
    <xf borderId="6" fillId="4" fontId="7" numFmtId="0" xfId="0" applyBorder="1" applyFont="1"/>
    <xf borderId="7" fillId="4" fontId="7" numFmtId="0" xfId="0" applyBorder="1" applyFont="1"/>
    <xf borderId="0" fillId="0" fontId="8" numFmtId="0" xfId="0" applyFont="1"/>
    <xf borderId="0" fillId="0" fontId="9" numFmtId="0" xfId="0" applyFont="1"/>
    <xf borderId="0" fillId="0" fontId="10" numFmtId="0" xfId="0" applyFont="1"/>
    <xf borderId="0" fillId="0" fontId="10" numFmtId="166" xfId="0" applyFont="1" applyNumberFormat="1"/>
    <xf borderId="0" fillId="0" fontId="10" numFmtId="167" xfId="0" applyFont="1" applyNumberFormat="1"/>
    <xf borderId="0" fillId="0" fontId="10" numFmtId="168" xfId="0" applyFont="1" applyNumberFormat="1"/>
    <xf borderId="1" fillId="3" fontId="10" numFmtId="0" xfId="0" applyBorder="1" applyFont="1"/>
    <xf borderId="1" fillId="3" fontId="10" numFmtId="166" xfId="0" applyBorder="1" applyFont="1" applyNumberFormat="1"/>
    <xf borderId="1" fillId="3" fontId="10" numFmtId="167" xfId="0" applyBorder="1" applyFont="1" applyNumberFormat="1"/>
    <xf borderId="1" fillId="3" fontId="10" numFmtId="168" xfId="0" applyBorder="1" applyFont="1" applyNumberFormat="1"/>
    <xf borderId="1" fillId="4" fontId="9" numFmtId="0" xfId="0" applyBorder="1" applyFont="1"/>
    <xf borderId="0" fillId="0" fontId="11" numFmtId="169" xfId="0" applyFont="1" applyNumberFormat="1"/>
    <xf borderId="0" fillId="0" fontId="11" numFmtId="0" xfId="0" applyFont="1"/>
    <xf borderId="0" fillId="0" fontId="11" numFmtId="167" xfId="0" applyFont="1" applyNumberFormat="1"/>
    <xf borderId="0" fillId="0" fontId="11" numFmtId="168" xfId="0" applyFont="1" applyNumberFormat="1"/>
    <xf borderId="3" fillId="4" fontId="7" numFmtId="166" xfId="0" applyBorder="1" applyFont="1" applyNumberFormat="1"/>
    <xf borderId="3" fillId="4" fontId="7" numFmtId="167" xfId="0" applyBorder="1" applyFont="1" applyNumberFormat="1"/>
    <xf borderId="3" fillId="4" fontId="7" numFmtId="168" xfId="0" applyBorder="1" applyFont="1" applyNumberFormat="1"/>
    <xf borderId="4" fillId="4" fontId="5" numFmtId="0" xfId="0" applyBorder="1" applyFont="1"/>
    <xf borderId="6" fillId="4" fontId="7" numFmtId="166" xfId="0" applyBorder="1" applyFont="1" applyNumberFormat="1"/>
    <xf borderId="6" fillId="4" fontId="7" numFmtId="167" xfId="0" applyBorder="1" applyFont="1" applyNumberFormat="1"/>
    <xf borderId="6" fillId="4" fontId="7" numFmtId="168" xfId="0" applyBorder="1" applyFont="1" applyNumberFormat="1"/>
    <xf borderId="7" fillId="4" fontId="5" numFmtId="0" xfId="0" applyBorder="1" applyFont="1"/>
    <xf borderId="0" fillId="0" fontId="12" numFmtId="0" xfId="0" applyFont="1"/>
    <xf borderId="0" fillId="0" fontId="8" numFmtId="169" xfId="0" applyFont="1" applyNumberFormat="1"/>
    <xf borderId="0" fillId="0" fontId="8" numFmtId="9" xfId="0" applyFont="1" applyNumberFormat="1"/>
    <xf borderId="0" fillId="0" fontId="5" numFmtId="0" xfId="0" applyAlignment="1" applyFont="1">
      <alignment vertical="top"/>
    </xf>
    <xf borderId="0" fillId="0" fontId="5" numFmtId="164" xfId="0" applyAlignment="1" applyFont="1" applyNumberFormat="1">
      <alignment horizontal="right" shrinkToFit="0" vertical="top" wrapText="1"/>
    </xf>
    <xf borderId="0" fillId="0" fontId="5" numFmtId="0" xfId="0" applyAlignment="1" applyFont="1">
      <alignment shrinkToFit="0" vertical="top" wrapText="1"/>
    </xf>
    <xf borderId="0" fillId="0" fontId="5" numFmtId="0" xfId="0" applyAlignment="1" applyFont="1">
      <alignment horizontal="center" shrinkToFit="0" vertical="top" wrapText="1"/>
    </xf>
    <xf borderId="1" fillId="3" fontId="5" numFmtId="0" xfId="0" applyAlignment="1" applyBorder="1" applyFont="1">
      <alignment vertical="top"/>
    </xf>
    <xf borderId="1" fillId="3" fontId="5" numFmtId="164" xfId="0" applyAlignment="1" applyBorder="1" applyFont="1" applyNumberFormat="1">
      <alignment horizontal="right" shrinkToFit="0" vertical="top" wrapText="1"/>
    </xf>
    <xf borderId="1" fillId="3" fontId="5" numFmtId="0" xfId="0" applyAlignment="1" applyBorder="1" applyFont="1">
      <alignment shrinkToFit="0" vertical="top" wrapText="1"/>
    </xf>
    <xf borderId="1" fillId="3" fontId="5" numFmtId="0" xfId="0" applyAlignment="1" applyBorder="1" applyFont="1">
      <alignment horizontal="center" shrinkToFit="0" vertical="top" wrapText="1"/>
    </xf>
    <xf borderId="1" fillId="3" fontId="5" numFmtId="164" xfId="0" applyAlignment="1" applyBorder="1" applyFont="1" applyNumberFormat="1">
      <alignment horizontal="center" shrinkToFit="0" vertical="top" wrapText="1"/>
    </xf>
    <xf borderId="0" fillId="0" fontId="5" numFmtId="164" xfId="0" applyAlignment="1" applyFont="1" applyNumberFormat="1">
      <alignment horizontal="center" shrinkToFit="0" vertical="top" wrapText="1"/>
    </xf>
    <xf borderId="0" fillId="0" fontId="5" numFmtId="0" xfId="0" applyAlignment="1" applyFont="1">
      <alignment shrinkToFit="0" wrapText="1"/>
    </xf>
    <xf borderId="0" fillId="0" fontId="5" numFmtId="165" xfId="0" applyAlignment="1" applyFont="1" applyNumberFormat="1">
      <alignment shrinkToFit="0" wrapText="1"/>
    </xf>
    <xf borderId="3" fillId="4" fontId="5" numFmtId="0" xfId="0" applyBorder="1" applyFont="1"/>
    <xf borderId="6" fillId="4" fontId="5" numFmtId="0" xfId="0" applyBorder="1" applyFont="1"/>
    <xf borderId="0" fillId="0" fontId="13" numFmtId="0" xfId="0" applyFont="1"/>
    <xf borderId="0" fillId="0" fontId="14" numFmtId="0" xfId="0" applyFont="1"/>
    <xf borderId="0" fillId="0" fontId="8" numFmtId="0" xfId="0" applyAlignment="1" applyFont="1">
      <alignment shrinkToFit="0" vertical="top" wrapText="1"/>
    </xf>
    <xf borderId="0" fillId="0" fontId="8" numFmtId="0" xfId="0" applyAlignment="1" applyFont="1">
      <alignment vertical="top"/>
    </xf>
    <xf borderId="8" fillId="2" fontId="15" numFmtId="0" xfId="0" applyAlignment="1" applyBorder="1" applyFont="1">
      <alignment horizontal="left" readingOrder="1" shrinkToFit="0" vertical="center" wrapText="1"/>
    </xf>
    <xf borderId="9" fillId="2" fontId="15" numFmtId="0" xfId="0" applyAlignment="1" applyBorder="1" applyFont="1">
      <alignment horizontal="center" readingOrder="1" shrinkToFit="0" vertical="center" wrapText="1"/>
    </xf>
    <xf borderId="10" fillId="0" fontId="16" numFmtId="0" xfId="0" applyBorder="1" applyFont="1"/>
    <xf borderId="11" fillId="0" fontId="16" numFmtId="0" xfId="0" applyBorder="1" applyFont="1"/>
    <xf borderId="3" fillId="2" fontId="15" numFmtId="0" xfId="0" applyAlignment="1" applyBorder="1" applyFont="1">
      <alignment horizontal="center" readingOrder="1" shrinkToFit="0" vertical="center" wrapText="1"/>
    </xf>
    <xf borderId="12" fillId="5" fontId="7" numFmtId="0" xfId="0" applyAlignment="1" applyBorder="1" applyFill="1" applyFont="1">
      <alignment horizontal="center" shrinkToFit="0" vertical="center" wrapText="1"/>
    </xf>
    <xf borderId="13"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2" fillId="3" fontId="5" numFmtId="0" xfId="0" applyAlignment="1" applyBorder="1" applyFont="1">
      <alignment horizontal="center" shrinkToFit="0" vertical="center" wrapText="1"/>
    </xf>
    <xf borderId="13" fillId="3" fontId="5"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4" fillId="3" fontId="5" numFmtId="0" xfId="0" applyAlignment="1" applyBorder="1" applyFont="1">
      <alignment horizontal="center" shrinkToFit="0" vertical="center" wrapText="1"/>
    </xf>
    <xf borderId="15" fillId="0" fontId="5" numFmtId="0" xfId="0" applyAlignment="1" applyBorder="1" applyFont="1">
      <alignment horizontal="center" shrinkToFit="0" vertical="center" wrapText="1"/>
    </xf>
    <xf borderId="16"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17" fillId="0" fontId="5" numFmtId="0" xfId="0" applyAlignment="1" applyBorder="1" applyFont="1">
      <alignment horizontal="center" shrinkToFit="0" vertical="center" wrapText="1"/>
    </xf>
    <xf borderId="18"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7" fillId="3"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640202"/>
      </a:accent1>
      <a:accent2>
        <a:srgbClr val="D9503D"/>
      </a:accent2>
      <a:accent3>
        <a:srgbClr val="5B5B5B"/>
      </a:accent3>
      <a:accent4>
        <a:srgbClr val="C2C2C2"/>
      </a:accent4>
      <a:accent5>
        <a:srgbClr val="C2C2C2"/>
      </a:accent5>
      <a:accent6>
        <a:srgbClr val="FFFFFF"/>
      </a:accent6>
      <a:hlink>
        <a:srgbClr val="D9503D"/>
      </a:hlink>
      <a:folHlink>
        <a:srgbClr val="D9503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zingle.com/" TargetMode="External"/><Relationship Id="rId2" Type="http://schemas.openxmlformats.org/officeDocument/2006/relationships/hyperlink" Target="http://www.smooch.io/" TargetMode="External"/><Relationship Id="rId3" Type="http://schemas.openxmlformats.org/officeDocument/2006/relationships/hyperlink" Target="http://www.outbound.i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outlineLevelCol="1"/>
  <cols>
    <col customWidth="1" min="1" max="1" width="2.71"/>
    <col customWidth="1" min="2" max="2" width="18.57"/>
    <col customWidth="1" min="3" max="3" width="10.14"/>
    <col customWidth="1" hidden="1" min="4" max="5" width="8.0" outlineLevel="1"/>
    <col collapsed="1" customWidth="1" min="6" max="6" width="18.29"/>
    <col customWidth="1" min="7" max="7" width="10.71"/>
    <col customWidth="1" min="8" max="8" width="27.86"/>
    <col customWidth="1" min="9" max="9" width="19.86"/>
    <col customWidth="1" min="10" max="26" width="8.71"/>
  </cols>
  <sheetData>
    <row r="1" ht="14.25" customHeight="1"/>
    <row r="2" ht="33.0" customHeight="1">
      <c r="A2" s="1"/>
      <c r="B2" s="2" t="s">
        <v>0</v>
      </c>
      <c r="C2" s="2" t="s">
        <v>1</v>
      </c>
      <c r="D2" s="2" t="s">
        <v>2</v>
      </c>
      <c r="E2" s="3" t="s">
        <v>3</v>
      </c>
      <c r="F2" s="2" t="s">
        <v>4</v>
      </c>
      <c r="G2" s="2" t="s">
        <v>5</v>
      </c>
      <c r="H2" s="2" t="s">
        <v>6</v>
      </c>
      <c r="I2" s="2" t="s">
        <v>7</v>
      </c>
      <c r="J2" s="1"/>
      <c r="K2" s="1"/>
      <c r="L2" s="1"/>
      <c r="M2" s="1"/>
      <c r="N2" s="1"/>
      <c r="O2" s="1"/>
      <c r="P2" s="1"/>
      <c r="Q2" s="1"/>
      <c r="R2" s="1"/>
      <c r="S2" s="1"/>
      <c r="T2" s="1"/>
      <c r="U2" s="1"/>
      <c r="V2" s="1"/>
      <c r="W2" s="1"/>
      <c r="X2" s="1"/>
      <c r="Y2" s="1"/>
      <c r="Z2" s="1"/>
    </row>
    <row r="3" ht="14.25" customHeight="1">
      <c r="B3" s="4" t="s">
        <v>8</v>
      </c>
      <c r="C3" s="5">
        <v>47.3</v>
      </c>
      <c r="D3" s="6" t="s">
        <v>9</v>
      </c>
      <c r="E3" s="6" t="s">
        <v>9</v>
      </c>
      <c r="F3" s="7" t="s">
        <v>10</v>
      </c>
      <c r="G3" s="8">
        <v>43709.0</v>
      </c>
      <c r="H3" s="7" t="s">
        <v>11</v>
      </c>
      <c r="I3" s="7" t="s">
        <v>12</v>
      </c>
    </row>
    <row r="4" ht="14.25" customHeight="1">
      <c r="B4" s="9" t="s">
        <v>13</v>
      </c>
      <c r="C4" s="10">
        <v>71.9</v>
      </c>
      <c r="D4" s="11" t="s">
        <v>9</v>
      </c>
      <c r="E4" s="11" t="s">
        <v>9</v>
      </c>
      <c r="F4" s="12" t="s">
        <v>14</v>
      </c>
      <c r="G4" s="13">
        <v>43586.0</v>
      </c>
      <c r="H4" s="12" t="s">
        <v>15</v>
      </c>
      <c r="I4" s="12" t="s">
        <v>12</v>
      </c>
    </row>
    <row r="5" ht="14.25" customHeight="1">
      <c r="B5" s="4" t="s">
        <v>16</v>
      </c>
      <c r="C5" s="5">
        <v>16.56</v>
      </c>
      <c r="D5" s="6" t="s">
        <v>9</v>
      </c>
      <c r="E5" s="6" t="s">
        <v>9</v>
      </c>
      <c r="F5" s="7" t="s">
        <v>17</v>
      </c>
      <c r="G5" s="8">
        <v>42826.0</v>
      </c>
      <c r="H5" s="7" t="s">
        <v>18</v>
      </c>
      <c r="I5" s="7" t="s">
        <v>12</v>
      </c>
    </row>
    <row r="6" ht="14.25" customHeight="1">
      <c r="B6" s="12" t="s">
        <v>19</v>
      </c>
      <c r="C6" s="14" t="s">
        <v>9</v>
      </c>
      <c r="D6" s="11" t="s">
        <v>9</v>
      </c>
      <c r="E6" s="11" t="s">
        <v>9</v>
      </c>
      <c r="F6" s="12" t="s">
        <v>20</v>
      </c>
      <c r="G6" s="13">
        <v>42522.0</v>
      </c>
      <c r="H6" s="12" t="s">
        <v>21</v>
      </c>
      <c r="I6" s="12" t="s">
        <v>22</v>
      </c>
    </row>
    <row r="7" ht="14.25" customHeight="1">
      <c r="B7" s="7" t="s">
        <v>23</v>
      </c>
      <c r="C7" s="5">
        <v>1134.0</v>
      </c>
      <c r="D7" s="6"/>
      <c r="E7" s="6"/>
      <c r="F7" s="7" t="s">
        <v>24</v>
      </c>
      <c r="G7" s="8">
        <v>40118.0</v>
      </c>
      <c r="H7" s="7" t="s">
        <v>25</v>
      </c>
      <c r="I7" s="7" t="s">
        <v>26</v>
      </c>
    </row>
    <row r="8" ht="14.25" customHeight="1">
      <c r="B8" s="12" t="s">
        <v>27</v>
      </c>
      <c r="C8" s="15">
        <v>310.0</v>
      </c>
      <c r="D8" s="11"/>
      <c r="E8" s="11"/>
      <c r="F8" s="12" t="s">
        <v>28</v>
      </c>
      <c r="G8" s="13">
        <v>42887.0</v>
      </c>
      <c r="H8" s="12" t="s">
        <v>29</v>
      </c>
      <c r="I8" s="12" t="s">
        <v>26</v>
      </c>
    </row>
    <row r="9" ht="14.25" customHeight="1">
      <c r="B9" s="7" t="s">
        <v>30</v>
      </c>
      <c r="C9" s="5">
        <v>3200.0</v>
      </c>
      <c r="D9" s="6"/>
      <c r="E9" s="6"/>
      <c r="F9" s="7" t="s">
        <v>28</v>
      </c>
      <c r="G9" s="8">
        <v>42614.0</v>
      </c>
      <c r="H9" s="7" t="s">
        <v>31</v>
      </c>
      <c r="I9" s="7" t="s">
        <v>32</v>
      </c>
    </row>
    <row r="10" ht="14.25" customHeight="1">
      <c r="B10" s="12" t="s">
        <v>33</v>
      </c>
      <c r="C10" s="15">
        <v>1000.0</v>
      </c>
      <c r="D10" s="11"/>
      <c r="E10" s="11"/>
      <c r="F10" s="12" t="s">
        <v>34</v>
      </c>
      <c r="G10" s="13">
        <v>42583.0</v>
      </c>
      <c r="H10" s="12" t="s">
        <v>35</v>
      </c>
      <c r="I10" s="12" t="s">
        <v>26</v>
      </c>
    </row>
    <row r="11" ht="14.25" customHeight="1">
      <c r="B11" s="7" t="s">
        <v>36</v>
      </c>
      <c r="C11" s="5" t="s">
        <v>9</v>
      </c>
      <c r="D11" s="6"/>
      <c r="E11" s="6"/>
      <c r="F11" s="7" t="s">
        <v>37</v>
      </c>
      <c r="G11" s="8">
        <v>43344.0</v>
      </c>
      <c r="H11" s="7" t="s">
        <v>38</v>
      </c>
      <c r="I11" s="7" t="s">
        <v>22</v>
      </c>
    </row>
    <row r="12" ht="14.25" customHeight="1">
      <c r="B12" s="12" t="s">
        <v>39</v>
      </c>
      <c r="C12" s="15">
        <v>4000.0</v>
      </c>
      <c r="D12" s="11"/>
      <c r="E12" s="11"/>
      <c r="F12" s="12" t="s">
        <v>40</v>
      </c>
      <c r="G12" s="13">
        <v>43831.0</v>
      </c>
      <c r="H12" s="12" t="s">
        <v>41</v>
      </c>
      <c r="I12" s="12" t="s">
        <v>32</v>
      </c>
    </row>
    <row r="13" ht="4.5" customHeight="1">
      <c r="B13" s="7"/>
      <c r="C13" s="16"/>
      <c r="D13" s="6"/>
      <c r="E13" s="6"/>
      <c r="F13" s="7"/>
      <c r="G13" s="8"/>
      <c r="H13" s="7"/>
      <c r="I13" s="7"/>
    </row>
    <row r="14" ht="14.25" customHeight="1">
      <c r="B14" s="17" t="s">
        <v>42</v>
      </c>
      <c r="C14" s="18">
        <f>MEDIAN(C3:C12)</f>
        <v>655</v>
      </c>
      <c r="D14" s="19" t="s">
        <v>9</v>
      </c>
      <c r="E14" s="19" t="s">
        <v>9</v>
      </c>
      <c r="F14" s="20"/>
      <c r="G14" s="20"/>
      <c r="H14" s="20"/>
      <c r="I14" s="21"/>
    </row>
    <row r="15" ht="14.25" customHeight="1">
      <c r="B15" s="22" t="s">
        <v>43</v>
      </c>
      <c r="C15" s="23">
        <f>AVERAGE(C3:C12)</f>
        <v>1222.47</v>
      </c>
      <c r="D15" s="24" t="s">
        <v>9</v>
      </c>
      <c r="E15" s="24" t="s">
        <v>9</v>
      </c>
      <c r="F15" s="25"/>
      <c r="G15" s="25"/>
      <c r="H15" s="25"/>
      <c r="I15" s="26"/>
    </row>
    <row r="16" ht="14.25" customHeight="1"/>
    <row r="17" ht="14.25" customHeight="1">
      <c r="B17" s="27"/>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3"/>
    <hyperlink r:id="rId2" ref="B4"/>
    <hyperlink r:id="rId3" ref="B5"/>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2.71"/>
    <col customWidth="1" min="2" max="2" width="14.0"/>
    <col customWidth="1" min="3" max="3" width="13.71"/>
    <col customWidth="1" min="4" max="4" width="11.14"/>
    <col customWidth="1" min="5" max="5" width="10.71"/>
    <col customWidth="1" min="6" max="6" width="11.71"/>
    <col customWidth="1" min="7" max="9" width="9.0"/>
    <col customWidth="1" min="10" max="10" width="30.0"/>
    <col customWidth="1" min="11" max="26" width="8.71"/>
  </cols>
  <sheetData>
    <row r="1" ht="14.25" customHeight="1"/>
    <row r="2" ht="14.25" customHeight="1">
      <c r="A2" s="1"/>
      <c r="B2" s="2" t="s">
        <v>0</v>
      </c>
      <c r="C2" s="2" t="s">
        <v>2</v>
      </c>
      <c r="D2" s="2" t="s">
        <v>44</v>
      </c>
      <c r="E2" s="2" t="s">
        <v>45</v>
      </c>
      <c r="F2" s="2" t="s">
        <v>46</v>
      </c>
      <c r="G2" s="2" t="s">
        <v>47</v>
      </c>
      <c r="H2" s="2" t="s">
        <v>48</v>
      </c>
      <c r="I2" s="2" t="s">
        <v>49</v>
      </c>
      <c r="J2" s="2" t="s">
        <v>7</v>
      </c>
      <c r="K2" s="1"/>
      <c r="L2" s="1"/>
      <c r="M2" s="1"/>
      <c r="N2" s="1"/>
      <c r="O2" s="1"/>
      <c r="P2" s="1"/>
      <c r="Q2" s="1"/>
      <c r="R2" s="1"/>
      <c r="S2" s="1"/>
      <c r="T2" s="1"/>
      <c r="U2" s="1"/>
      <c r="V2" s="1"/>
      <c r="W2" s="1"/>
      <c r="X2" s="1"/>
      <c r="Y2" s="1"/>
      <c r="Z2" s="1"/>
    </row>
    <row r="3" ht="14.25" customHeight="1">
      <c r="A3" s="28"/>
      <c r="B3" s="29" t="s">
        <v>10</v>
      </c>
      <c r="C3" s="30">
        <v>524.487</v>
      </c>
      <c r="D3" s="30">
        <v>-142.695</v>
      </c>
      <c r="E3" s="30">
        <v>5455.0</v>
      </c>
      <c r="F3" s="30">
        <v>5570.0</v>
      </c>
      <c r="G3" s="31">
        <v>-0.191</v>
      </c>
      <c r="H3" s="31">
        <v>0.56</v>
      </c>
      <c r="I3" s="32">
        <v>10.62</v>
      </c>
      <c r="J3" s="29" t="s">
        <v>50</v>
      </c>
      <c r="K3" s="28"/>
      <c r="L3" s="28"/>
      <c r="M3" s="28"/>
      <c r="N3" s="28"/>
      <c r="O3" s="28"/>
      <c r="P3" s="28"/>
      <c r="Q3" s="28"/>
      <c r="R3" s="28"/>
      <c r="S3" s="28"/>
      <c r="T3" s="28"/>
      <c r="U3" s="28"/>
      <c r="V3" s="28"/>
      <c r="W3" s="28"/>
      <c r="X3" s="28"/>
      <c r="Y3" s="28"/>
      <c r="Z3" s="28"/>
    </row>
    <row r="4" ht="14.25" customHeight="1">
      <c r="A4" s="28"/>
      <c r="B4" s="33" t="s">
        <v>51</v>
      </c>
      <c r="C4" s="34">
        <v>1072.604</v>
      </c>
      <c r="D4" s="34">
        <v>-9.605</v>
      </c>
      <c r="E4" s="34">
        <v>34047.0</v>
      </c>
      <c r="F4" s="34">
        <v>32260.0</v>
      </c>
      <c r="G4" s="35">
        <v>0.0121</v>
      </c>
      <c r="H4" s="35">
        <v>0.28</v>
      </c>
      <c r="I4" s="36">
        <v>30.08</v>
      </c>
      <c r="J4" s="33" t="s">
        <v>50</v>
      </c>
      <c r="K4" s="28"/>
      <c r="L4" s="28"/>
      <c r="M4" s="28"/>
      <c r="N4" s="28"/>
      <c r="O4" s="28"/>
      <c r="P4" s="28"/>
      <c r="Q4" s="28"/>
      <c r="R4" s="28"/>
      <c r="S4" s="28"/>
      <c r="T4" s="28"/>
      <c r="U4" s="28"/>
      <c r="V4" s="28"/>
      <c r="W4" s="28"/>
      <c r="X4" s="28"/>
      <c r="Y4" s="28"/>
      <c r="Z4" s="28"/>
    </row>
    <row r="5" ht="14.25" customHeight="1">
      <c r="A5" s="28"/>
      <c r="B5" s="29" t="s">
        <v>14</v>
      </c>
      <c r="C5" s="30">
        <v>1161.688</v>
      </c>
      <c r="D5" s="30">
        <v>-114.211</v>
      </c>
      <c r="E5" s="30">
        <v>14960.0</v>
      </c>
      <c r="F5" s="30">
        <v>15200.0</v>
      </c>
      <c r="G5" s="31">
        <v>-0.15</v>
      </c>
      <c r="H5" s="31">
        <v>0.36</v>
      </c>
      <c r="I5" s="32">
        <v>13.09</v>
      </c>
      <c r="J5" s="29" t="s">
        <v>50</v>
      </c>
      <c r="K5" s="28"/>
      <c r="L5" s="28"/>
      <c r="M5" s="28"/>
      <c r="N5" s="28"/>
      <c r="O5" s="28"/>
      <c r="P5" s="28"/>
      <c r="Q5" s="28"/>
      <c r="R5" s="28"/>
      <c r="S5" s="28"/>
      <c r="T5" s="28"/>
      <c r="U5" s="28"/>
      <c r="V5" s="28"/>
      <c r="W5" s="28"/>
      <c r="X5" s="28"/>
      <c r="Y5" s="28"/>
      <c r="Z5" s="28"/>
    </row>
    <row r="6" ht="14.25" customHeight="1">
      <c r="A6" s="28"/>
      <c r="B6" s="33" t="s">
        <v>52</v>
      </c>
      <c r="C6" s="34">
        <v>323.349</v>
      </c>
      <c r="D6" s="34">
        <v>-58.409</v>
      </c>
      <c r="E6" s="34">
        <v>2090.0</v>
      </c>
      <c r="F6" s="34">
        <v>1950.0</v>
      </c>
      <c r="G6" s="35">
        <v>-0.23</v>
      </c>
      <c r="H6" s="35">
        <v>0.17</v>
      </c>
      <c r="I6" s="36">
        <v>6.04</v>
      </c>
      <c r="J6" s="33" t="s">
        <v>53</v>
      </c>
      <c r="K6" s="28"/>
      <c r="L6" s="28"/>
      <c r="M6" s="28"/>
      <c r="N6" s="28"/>
      <c r="O6" s="28"/>
      <c r="P6" s="28"/>
      <c r="Q6" s="28"/>
      <c r="R6" s="28"/>
      <c r="S6" s="28"/>
      <c r="T6" s="28"/>
      <c r="U6" s="28"/>
      <c r="V6" s="28"/>
      <c r="W6" s="28"/>
      <c r="X6" s="28"/>
      <c r="Y6" s="28"/>
      <c r="Z6" s="28"/>
    </row>
    <row r="7" ht="14.25" customHeight="1">
      <c r="A7" s="28"/>
      <c r="B7" s="29" t="s">
        <v>54</v>
      </c>
      <c r="C7" s="30">
        <v>23539.0</v>
      </c>
      <c r="D7" s="30">
        <v>4046.0</v>
      </c>
      <c r="E7" s="30">
        <v>255060.0</v>
      </c>
      <c r="F7" s="30">
        <v>260930.0</v>
      </c>
      <c r="G7" s="31">
        <v>0.1662</v>
      </c>
      <c r="H7" s="31">
        <v>0.2873</v>
      </c>
      <c r="I7" s="32">
        <v>11.08</v>
      </c>
      <c r="J7" s="29" t="s">
        <v>55</v>
      </c>
      <c r="K7" s="28"/>
      <c r="L7" s="28"/>
      <c r="M7" s="28"/>
      <c r="N7" s="28"/>
      <c r="O7" s="28"/>
      <c r="P7" s="28"/>
      <c r="Q7" s="28"/>
      <c r="R7" s="28"/>
      <c r="S7" s="28"/>
      <c r="T7" s="28"/>
      <c r="U7" s="28"/>
      <c r="V7" s="28"/>
      <c r="W7" s="28"/>
      <c r="X7" s="28"/>
      <c r="Y7" s="28"/>
      <c r="Z7" s="28"/>
    </row>
    <row r="8" ht="14.25" customHeight="1">
      <c r="A8" s="28"/>
      <c r="B8" s="33" t="s">
        <v>56</v>
      </c>
      <c r="C8" s="34">
        <v>100328.0</v>
      </c>
      <c r="D8" s="34">
        <v>11497.0</v>
      </c>
      <c r="E8" s="34">
        <v>120380.0</v>
      </c>
      <c r="F8" s="34">
        <v>128260.0</v>
      </c>
      <c r="G8" s="35">
        <v>0.0931</v>
      </c>
      <c r="H8" s="35">
        <v>0.0366</v>
      </c>
      <c r="I8" s="36">
        <v>1.28</v>
      </c>
      <c r="J8" s="33" t="s">
        <v>57</v>
      </c>
      <c r="K8" s="28"/>
      <c r="L8" s="28"/>
      <c r="M8" s="37"/>
      <c r="N8" s="28"/>
      <c r="O8" s="28"/>
      <c r="P8" s="28"/>
      <c r="Q8" s="28"/>
      <c r="R8" s="28"/>
      <c r="S8" s="28"/>
      <c r="T8" s="28"/>
      <c r="U8" s="28"/>
      <c r="V8" s="28"/>
      <c r="W8" s="28"/>
      <c r="X8" s="28"/>
      <c r="Y8" s="28"/>
      <c r="Z8" s="28"/>
    </row>
    <row r="9" ht="14.25" customHeight="1">
      <c r="A9" s="28"/>
      <c r="B9" s="29" t="s">
        <v>28</v>
      </c>
      <c r="C9" s="30">
        <v>566145.0</v>
      </c>
      <c r="D9" s="30">
        <v>29327.0</v>
      </c>
      <c r="E9" s="30">
        <v>403580.0</v>
      </c>
      <c r="F9" s="30">
        <v>441630.0</v>
      </c>
      <c r="G9" s="31">
        <v>0.064</v>
      </c>
      <c r="H9" s="31">
        <v>0.0186</v>
      </c>
      <c r="I9" s="32">
        <v>0.78</v>
      </c>
      <c r="J9" s="29" t="s">
        <v>57</v>
      </c>
      <c r="K9" s="28"/>
      <c r="L9" s="28"/>
      <c r="M9" s="28"/>
      <c r="N9" s="28"/>
      <c r="O9" s="28"/>
      <c r="P9" s="28"/>
      <c r="Q9" s="28"/>
      <c r="R9" s="28"/>
      <c r="S9" s="28"/>
      <c r="T9" s="28"/>
      <c r="U9" s="28"/>
      <c r="V9" s="28"/>
      <c r="W9" s="28"/>
      <c r="X9" s="28"/>
      <c r="Y9" s="28"/>
      <c r="Z9" s="28"/>
    </row>
    <row r="10" ht="14.25" customHeight="1">
      <c r="A10" s="28"/>
      <c r="B10" s="33" t="s">
        <v>58</v>
      </c>
      <c r="C10" s="34">
        <v>3853.241</v>
      </c>
      <c r="D10" s="34">
        <v>266203.0</v>
      </c>
      <c r="E10" s="34">
        <v>184940.0</v>
      </c>
      <c r="F10" s="34">
        <v>178270.0</v>
      </c>
      <c r="G10" s="35">
        <v>-0.0687</v>
      </c>
      <c r="H10" s="35">
        <v>0.47</v>
      </c>
      <c r="I10" s="36">
        <f>26.26</f>
        <v>26.26</v>
      </c>
      <c r="J10" s="33" t="s">
        <v>32</v>
      </c>
      <c r="K10" s="28"/>
      <c r="L10" s="28"/>
      <c r="M10" s="28"/>
      <c r="N10" s="28"/>
      <c r="O10" s="28"/>
      <c r="P10" s="28"/>
      <c r="Q10" s="28"/>
      <c r="R10" s="28"/>
      <c r="S10" s="28"/>
      <c r="T10" s="28"/>
      <c r="U10" s="28"/>
      <c r="V10" s="28"/>
      <c r="W10" s="28"/>
      <c r="X10" s="28"/>
      <c r="Y10" s="28"/>
      <c r="Z10" s="28"/>
    </row>
    <row r="11" ht="14.25" customHeight="1">
      <c r="A11" s="28"/>
      <c r="B11" s="29" t="s">
        <v>59</v>
      </c>
      <c r="C11" s="30">
        <v>818.0</v>
      </c>
      <c r="D11" s="30">
        <v>139.0</v>
      </c>
      <c r="E11" s="30">
        <v>5249.0</v>
      </c>
      <c r="F11" s="30">
        <v>5265.0</v>
      </c>
      <c r="G11" s="31">
        <v>0.1708</v>
      </c>
      <c r="H11" s="31">
        <v>0.355</v>
      </c>
      <c r="I11" s="32">
        <v>7.03</v>
      </c>
      <c r="J11" s="29" t="s">
        <v>32</v>
      </c>
      <c r="K11" s="28"/>
      <c r="L11" s="28"/>
      <c r="M11" s="28"/>
      <c r="N11" s="28"/>
      <c r="O11" s="28"/>
      <c r="P11" s="28"/>
      <c r="Q11" s="28"/>
      <c r="R11" s="28"/>
      <c r="S11" s="28"/>
      <c r="T11" s="28"/>
      <c r="U11" s="28"/>
      <c r="V11" s="28"/>
      <c r="W11" s="28"/>
      <c r="X11" s="28"/>
      <c r="Y11" s="28"/>
      <c r="Z11" s="28"/>
    </row>
    <row r="12" ht="4.5" customHeight="1">
      <c r="B12" s="7"/>
      <c r="C12" s="38"/>
      <c r="D12" s="39"/>
      <c r="E12" s="38"/>
      <c r="F12" s="38"/>
      <c r="G12" s="40"/>
      <c r="H12" s="40"/>
      <c r="I12" s="41"/>
      <c r="J12" s="7"/>
    </row>
    <row r="13" ht="14.25" customHeight="1">
      <c r="B13" s="17" t="s">
        <v>60</v>
      </c>
      <c r="C13" s="42">
        <f t="shared" ref="C13:I13" si="1">MEDIAN(C3:C11)</f>
        <v>1161.688</v>
      </c>
      <c r="D13" s="42">
        <f t="shared" si="1"/>
        <v>139</v>
      </c>
      <c r="E13" s="42">
        <f t="shared" si="1"/>
        <v>34047</v>
      </c>
      <c r="F13" s="42">
        <f t="shared" si="1"/>
        <v>32260</v>
      </c>
      <c r="G13" s="43">
        <f t="shared" si="1"/>
        <v>0.0121</v>
      </c>
      <c r="H13" s="43">
        <f t="shared" si="1"/>
        <v>0.2873</v>
      </c>
      <c r="I13" s="44">
        <f t="shared" si="1"/>
        <v>10.62</v>
      </c>
      <c r="J13" s="45"/>
    </row>
    <row r="14" ht="14.25" customHeight="1">
      <c r="B14" s="22" t="s">
        <v>61</v>
      </c>
      <c r="C14" s="46">
        <f t="shared" ref="C14:I14" si="2">AVERAGE(C3:C11)</f>
        <v>77529.48544</v>
      </c>
      <c r="D14" s="46">
        <f t="shared" si="2"/>
        <v>34543.00889</v>
      </c>
      <c r="E14" s="46">
        <f t="shared" si="2"/>
        <v>113973.4444</v>
      </c>
      <c r="F14" s="46">
        <f t="shared" si="2"/>
        <v>118815</v>
      </c>
      <c r="G14" s="47">
        <f t="shared" si="2"/>
        <v>-0.01483333333</v>
      </c>
      <c r="H14" s="47">
        <f t="shared" si="2"/>
        <v>0.2819444444</v>
      </c>
      <c r="I14" s="48">
        <f t="shared" si="2"/>
        <v>11.80666667</v>
      </c>
      <c r="J14" s="49"/>
    </row>
    <row r="15" ht="14.25" customHeight="1"/>
    <row r="16" ht="14.25" customHeight="1"/>
    <row r="17" ht="14.25" customHeight="1"/>
    <row r="18" ht="14.25" customHeight="1">
      <c r="B18" s="50" t="s">
        <v>62</v>
      </c>
      <c r="C18" s="27"/>
      <c r="D18" s="27"/>
      <c r="E18" s="27"/>
      <c r="F18" s="27"/>
      <c r="G18" s="27"/>
      <c r="H18" s="27"/>
      <c r="I18" s="27"/>
      <c r="J18" s="27" t="s">
        <v>63</v>
      </c>
    </row>
    <row r="19" ht="14.25" customHeight="1">
      <c r="B19" s="27" t="s">
        <v>64</v>
      </c>
      <c r="C19" s="51">
        <v>417.0</v>
      </c>
      <c r="D19" s="27">
        <v>36.0</v>
      </c>
      <c r="E19" s="51">
        <v>6512.0</v>
      </c>
      <c r="F19" s="51">
        <v>6358.0</v>
      </c>
      <c r="G19" s="52">
        <v>0.09</v>
      </c>
      <c r="H19" s="52">
        <v>0.64</v>
      </c>
      <c r="I19" s="27">
        <v>17.1</v>
      </c>
      <c r="J19" s="27" t="s">
        <v>65</v>
      </c>
    </row>
    <row r="20" ht="14.25" customHeight="1">
      <c r="B20" s="27" t="s">
        <v>66</v>
      </c>
      <c r="C20" s="51">
        <v>173.0</v>
      </c>
      <c r="D20" s="27">
        <v>-117.0</v>
      </c>
      <c r="E20" s="51">
        <v>674.0</v>
      </c>
      <c r="F20" s="51">
        <v>659.0</v>
      </c>
      <c r="G20" s="52">
        <v>-0.68</v>
      </c>
      <c r="H20" s="52">
        <v>0.22</v>
      </c>
      <c r="I20" s="27">
        <v>3.96</v>
      </c>
      <c r="J20" s="27" t="s">
        <v>65</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outlineLevelCol="1"/>
  <cols>
    <col customWidth="1" min="1" max="1" width="2.71"/>
    <col customWidth="1" min="2" max="2" width="14.71"/>
    <col customWidth="1" hidden="1" min="3" max="3" width="9.0" outlineLevel="1"/>
    <col collapsed="1" customWidth="1" min="4" max="4" width="12.29"/>
    <col customWidth="1" min="5" max="5" width="12.29"/>
    <col customWidth="1" min="6" max="6" width="16.71"/>
    <col customWidth="1" min="7" max="7" width="29.86"/>
    <col customWidth="1" min="8" max="8" width="23.29"/>
    <col customWidth="1" min="9" max="26" width="8.71"/>
  </cols>
  <sheetData>
    <row r="1" ht="14.25" customHeight="1"/>
    <row r="2" ht="14.25" customHeight="1">
      <c r="B2" s="2" t="s">
        <v>0</v>
      </c>
      <c r="C2" s="2" t="s">
        <v>2</v>
      </c>
      <c r="D2" s="2" t="s">
        <v>67</v>
      </c>
      <c r="E2" s="2" t="s">
        <v>68</v>
      </c>
      <c r="F2" s="2" t="s">
        <v>69</v>
      </c>
      <c r="G2" s="2" t="s">
        <v>70</v>
      </c>
      <c r="H2" s="2" t="s">
        <v>7</v>
      </c>
    </row>
    <row r="3" ht="14.25" customHeight="1">
      <c r="B3" s="53" t="s">
        <v>71</v>
      </c>
      <c r="C3" s="53" t="s">
        <v>9</v>
      </c>
      <c r="D3" s="54">
        <v>18.0</v>
      </c>
      <c r="E3" s="55" t="s">
        <v>72</v>
      </c>
      <c r="F3" s="56" t="s">
        <v>9</v>
      </c>
      <c r="G3" s="55" t="s">
        <v>73</v>
      </c>
      <c r="H3" s="55" t="s">
        <v>74</v>
      </c>
    </row>
    <row r="4" ht="14.25" customHeight="1">
      <c r="B4" s="57" t="s">
        <v>75</v>
      </c>
      <c r="C4" s="57" t="s">
        <v>9</v>
      </c>
      <c r="D4" s="58">
        <v>41.0</v>
      </c>
      <c r="E4" s="59" t="s">
        <v>76</v>
      </c>
      <c r="F4" s="60" t="s">
        <v>9</v>
      </c>
      <c r="G4" s="59" t="s">
        <v>77</v>
      </c>
      <c r="H4" s="59" t="s">
        <v>74</v>
      </c>
    </row>
    <row r="5" ht="14.25" customHeight="1">
      <c r="B5" s="53" t="s">
        <v>78</v>
      </c>
      <c r="C5" s="53" t="s">
        <v>9</v>
      </c>
      <c r="D5" s="54">
        <v>3.0</v>
      </c>
      <c r="E5" s="55" t="s">
        <v>79</v>
      </c>
      <c r="F5" s="56" t="s">
        <v>9</v>
      </c>
      <c r="G5" s="55" t="s">
        <v>80</v>
      </c>
      <c r="H5" s="55" t="s">
        <v>74</v>
      </c>
    </row>
    <row r="6" ht="14.25" customHeight="1">
      <c r="B6" s="57" t="s">
        <v>81</v>
      </c>
      <c r="C6" s="57" t="s">
        <v>9</v>
      </c>
      <c r="D6" s="58">
        <v>8.0</v>
      </c>
      <c r="E6" s="59" t="s">
        <v>72</v>
      </c>
      <c r="F6" s="61">
        <v>16.0</v>
      </c>
      <c r="G6" s="59" t="s">
        <v>82</v>
      </c>
      <c r="H6" s="59" t="s">
        <v>74</v>
      </c>
    </row>
    <row r="7" ht="14.25" customHeight="1">
      <c r="B7" s="53" t="s">
        <v>83</v>
      </c>
      <c r="C7" s="53" t="s">
        <v>9</v>
      </c>
      <c r="D7" s="54">
        <v>42.0</v>
      </c>
      <c r="E7" s="55" t="s">
        <v>76</v>
      </c>
      <c r="F7" s="56" t="s">
        <v>9</v>
      </c>
      <c r="G7" s="55" t="s">
        <v>84</v>
      </c>
      <c r="H7" s="55" t="s">
        <v>53</v>
      </c>
    </row>
    <row r="8" ht="14.25" customHeight="1">
      <c r="B8" s="57" t="s">
        <v>85</v>
      </c>
      <c r="C8" s="57" t="s">
        <v>9</v>
      </c>
      <c r="D8" s="58">
        <v>38.0</v>
      </c>
      <c r="E8" s="59" t="s">
        <v>86</v>
      </c>
      <c r="F8" s="61">
        <v>145.0</v>
      </c>
      <c r="G8" s="59" t="s">
        <v>87</v>
      </c>
      <c r="H8" s="59" t="s">
        <v>53</v>
      </c>
    </row>
    <row r="9" ht="14.25" hidden="1" customHeight="1">
      <c r="B9" s="53" t="s">
        <v>88</v>
      </c>
      <c r="C9" s="53" t="s">
        <v>9</v>
      </c>
      <c r="D9" s="54">
        <v>145.0</v>
      </c>
      <c r="E9" s="55" t="s">
        <v>89</v>
      </c>
      <c r="F9" s="62">
        <v>114.0</v>
      </c>
      <c r="G9" s="55" t="s">
        <v>90</v>
      </c>
      <c r="H9" s="55" t="s">
        <v>91</v>
      </c>
    </row>
    <row r="10" ht="14.25" hidden="1" customHeight="1">
      <c r="B10" s="57" t="s">
        <v>92</v>
      </c>
      <c r="C10" s="57" t="s">
        <v>9</v>
      </c>
      <c r="D10" s="58">
        <v>163.0</v>
      </c>
      <c r="E10" s="59" t="s">
        <v>76</v>
      </c>
      <c r="F10" s="61">
        <v>300.0</v>
      </c>
      <c r="G10" s="59" t="s">
        <v>93</v>
      </c>
      <c r="H10" s="59" t="s">
        <v>94</v>
      </c>
    </row>
    <row r="11" ht="14.25" hidden="1" customHeight="1">
      <c r="B11" s="53" t="s">
        <v>95</v>
      </c>
      <c r="C11" s="53" t="s">
        <v>9</v>
      </c>
      <c r="D11" s="54">
        <v>100.0</v>
      </c>
      <c r="E11" s="55" t="s">
        <v>96</v>
      </c>
      <c r="F11" s="62">
        <v>165.0</v>
      </c>
      <c r="G11" s="55" t="s">
        <v>97</v>
      </c>
      <c r="H11" s="55" t="s">
        <v>94</v>
      </c>
    </row>
    <row r="12" ht="14.25" hidden="1" customHeight="1">
      <c r="B12" s="53" t="s">
        <v>98</v>
      </c>
      <c r="C12" s="53"/>
      <c r="D12" s="54">
        <v>228.0</v>
      </c>
      <c r="E12" s="55" t="s">
        <v>96</v>
      </c>
      <c r="F12" s="62">
        <v>450.0</v>
      </c>
      <c r="G12" s="55" t="s">
        <v>99</v>
      </c>
      <c r="H12" s="55" t="s">
        <v>100</v>
      </c>
    </row>
    <row r="13" ht="4.5" customHeight="1">
      <c r="B13" s="7"/>
      <c r="C13" s="7"/>
      <c r="D13" s="63"/>
      <c r="E13" s="63"/>
      <c r="F13" s="64"/>
      <c r="G13" s="63"/>
      <c r="H13" s="63"/>
    </row>
    <row r="14" ht="14.25" customHeight="1">
      <c r="B14" s="17" t="s">
        <v>42</v>
      </c>
      <c r="C14" s="65"/>
      <c r="D14" s="18">
        <f>MEDIAN(D3:D12)</f>
        <v>41.5</v>
      </c>
      <c r="E14" s="18"/>
      <c r="F14" s="18">
        <f>MEDIAN(F3:F11)</f>
        <v>145</v>
      </c>
      <c r="G14" s="65"/>
      <c r="H14" s="45"/>
    </row>
    <row r="15" ht="14.25" customHeight="1">
      <c r="B15" s="22" t="s">
        <v>43</v>
      </c>
      <c r="C15" s="66"/>
      <c r="D15" s="23">
        <f>AVERAGE(D3:D12)</f>
        <v>78.6</v>
      </c>
      <c r="E15" s="23"/>
      <c r="F15" s="23">
        <f>AVERAGE(F3:F11)</f>
        <v>148</v>
      </c>
      <c r="G15" s="66"/>
      <c r="H15" s="49"/>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3.0"/>
    <col customWidth="1" min="2" max="2" width="19.71"/>
    <col customWidth="1" min="3" max="3" width="93.29"/>
    <col customWidth="1" min="4" max="4" width="34.0"/>
    <col customWidth="1" min="5" max="26" width="8.71"/>
  </cols>
  <sheetData>
    <row r="1" ht="14.25" customHeight="1">
      <c r="B1" s="2" t="s">
        <v>0</v>
      </c>
      <c r="C1" s="2" t="s">
        <v>101</v>
      </c>
      <c r="D1" s="2" t="s">
        <v>70</v>
      </c>
    </row>
    <row r="2" ht="14.25" customHeight="1">
      <c r="B2" s="59" t="str">
        <f>'Private Comps'!B3</f>
        <v>Replenium</v>
      </c>
      <c r="C2" s="59" t="s">
        <v>102</v>
      </c>
      <c r="D2" s="59" t="str">
        <f>'Private Comps'!G3</f>
        <v>GLP, Consumer Equity Partners</v>
      </c>
      <c r="F2" s="67"/>
    </row>
    <row r="3" ht="14.25" customHeight="1">
      <c r="A3" s="68" t="s">
        <v>103</v>
      </c>
      <c r="B3" s="55" t="str">
        <f>'Private Comps'!B4</f>
        <v>OrderGroove</v>
      </c>
      <c r="C3" s="55" t="s">
        <v>104</v>
      </c>
      <c r="D3" s="55" t="str">
        <f>'Private Comps'!G4</f>
        <v>SWaN &amp; Legend, SVB, Lerer Hippeau, </v>
      </c>
      <c r="F3" s="67"/>
    </row>
    <row r="4" ht="14.25" customHeight="1">
      <c r="B4" s="59" t="str">
        <f>'Private Comps'!B5</f>
        <v>Kwik</v>
      </c>
      <c r="C4" s="59" t="s">
        <v>105</v>
      </c>
      <c r="D4" s="59" t="str">
        <f>'Private Comps'!G5</f>
        <v>Alpana Ventures, Ataria Ventures, Norwest Venture Partners, Charmides Capital</v>
      </c>
      <c r="F4" s="67"/>
    </row>
    <row r="5" ht="14.25" customHeight="1">
      <c r="B5" s="55" t="str">
        <f>'Private Comps'!B6</f>
        <v>SmartCommerce</v>
      </c>
      <c r="C5" s="55" t="s">
        <v>106</v>
      </c>
      <c r="D5" s="55" t="str">
        <f>'Private Comps'!G6</f>
        <v>Bright Capital, Edemic Capital, Run Capital, Valor Ventures</v>
      </c>
      <c r="F5" s="67"/>
    </row>
    <row r="6" ht="14.25" customHeight="1">
      <c r="B6" s="59" t="str">
        <f>'Private Comps'!B7</f>
        <v>Recurly</v>
      </c>
      <c r="C6" s="59" t="s">
        <v>107</v>
      </c>
      <c r="D6" s="59" t="str">
        <f>'Private Comps'!G7</f>
        <v>SVB, F-Prime Ventures, Greycroft, 500 Startups</v>
      </c>
      <c r="F6" s="67"/>
    </row>
    <row r="7" ht="14.25" customHeight="1">
      <c r="B7" s="55" t="str">
        <f>'Private Comps'!B8</f>
        <v>ChargeBee</v>
      </c>
      <c r="C7" s="55" t="s">
        <v>108</v>
      </c>
      <c r="D7" s="55" t="str">
        <f>'Private Comps'!G8</f>
        <v>Insight Partners, Tiger Global, Accel</v>
      </c>
      <c r="F7" s="67"/>
    </row>
    <row r="8" ht="14.25" customHeight="1">
      <c r="B8" s="59" t="str">
        <f>'Private Comps'!B9</f>
        <v>LeanPlum</v>
      </c>
      <c r="C8" s="59" t="s">
        <v>109</v>
      </c>
      <c r="D8" s="59" t="str">
        <f>'Private Comps'!G9</f>
        <v>Calterra Capital, Norwest Venture Partners, Canaan Partners, Kleiner Perkins, Shasta Ventures</v>
      </c>
      <c r="F8" s="67"/>
    </row>
    <row r="9" ht="14.25" customHeight="1">
      <c r="B9" s="69"/>
      <c r="C9" s="69"/>
      <c r="D9" s="69"/>
    </row>
    <row r="10" ht="14.25" customHeight="1">
      <c r="B10" s="70"/>
    </row>
    <row r="11" ht="14.25" customHeight="1">
      <c r="B11" s="70"/>
    </row>
    <row r="12" ht="14.25" customHeight="1">
      <c r="B12" s="70"/>
    </row>
    <row r="13" ht="14.25" customHeight="1">
      <c r="B13" s="70"/>
    </row>
    <row r="14" ht="14.25" customHeight="1">
      <c r="B14" s="70"/>
    </row>
    <row r="15" ht="14.25" customHeight="1">
      <c r="B15" s="70"/>
    </row>
    <row r="16" ht="14.25" customHeight="1">
      <c r="B16" s="70"/>
    </row>
    <row r="17" ht="14.25" customHeight="1">
      <c r="B17" s="70"/>
    </row>
    <row r="18" ht="14.25" customHeight="1">
      <c r="B18" s="70"/>
    </row>
    <row r="19" ht="14.25" customHeight="1">
      <c r="B19" s="70"/>
    </row>
    <row r="20" ht="14.25" customHeight="1">
      <c r="B20" s="70"/>
    </row>
    <row r="21" ht="14.25" customHeight="1">
      <c r="B21" s="70"/>
    </row>
    <row r="22" ht="14.25" customHeight="1">
      <c r="B22" s="7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25.71"/>
    <col customWidth="1" min="3" max="3" width="16.71"/>
    <col customWidth="1" min="4" max="4" width="9.29"/>
    <col customWidth="1" min="5" max="5" width="10.0"/>
    <col customWidth="1" min="6" max="6" width="13.14"/>
    <col customWidth="1" min="7" max="7" width="12.86"/>
    <col customWidth="1" min="8" max="8" width="11.0"/>
    <col customWidth="1" min="9" max="9" width="11.71"/>
    <col customWidth="1" min="10" max="10" width="9.43"/>
    <col customWidth="1" min="11" max="26" width="8.71"/>
  </cols>
  <sheetData>
    <row r="1" ht="14.25" customHeight="1"/>
    <row r="2" ht="39.0" customHeight="1">
      <c r="B2" s="71"/>
      <c r="C2" s="72" t="s">
        <v>110</v>
      </c>
      <c r="D2" s="73"/>
      <c r="E2" s="74"/>
      <c r="F2" s="75" t="s">
        <v>111</v>
      </c>
      <c r="G2" s="72" t="s">
        <v>112</v>
      </c>
      <c r="H2" s="74"/>
      <c r="I2" s="72" t="s">
        <v>113</v>
      </c>
      <c r="J2" s="74"/>
    </row>
    <row r="3" ht="14.25" customHeight="1">
      <c r="B3" s="76"/>
      <c r="C3" s="77" t="s">
        <v>114</v>
      </c>
      <c r="D3" s="78" t="s">
        <v>115</v>
      </c>
      <c r="E3" s="79" t="s">
        <v>116</v>
      </c>
      <c r="F3" s="78" t="s">
        <v>117</v>
      </c>
      <c r="G3" s="77" t="s">
        <v>118</v>
      </c>
      <c r="H3" s="79" t="s">
        <v>119</v>
      </c>
      <c r="I3" s="77" t="s">
        <v>120</v>
      </c>
      <c r="J3" s="79" t="s">
        <v>121</v>
      </c>
    </row>
    <row r="4" ht="14.25" customHeight="1">
      <c r="B4" s="80" t="s">
        <v>122</v>
      </c>
      <c r="C4" s="81"/>
      <c r="D4" s="82"/>
      <c r="E4" s="83"/>
      <c r="F4" s="82"/>
      <c r="G4" s="81" t="s">
        <v>123</v>
      </c>
      <c r="H4" s="83" t="s">
        <v>123</v>
      </c>
      <c r="I4" s="81"/>
      <c r="J4" s="83"/>
    </row>
    <row r="5" ht="14.25" customHeight="1">
      <c r="B5" s="84" t="s">
        <v>124</v>
      </c>
      <c r="C5" s="85" t="s">
        <v>123</v>
      </c>
      <c r="D5" s="86"/>
      <c r="E5" s="87" t="s">
        <v>123</v>
      </c>
      <c r="F5" s="86" t="s">
        <v>123</v>
      </c>
      <c r="G5" s="85" t="s">
        <v>123</v>
      </c>
      <c r="H5" s="87" t="s">
        <v>123</v>
      </c>
      <c r="I5" s="85"/>
      <c r="J5" s="87"/>
    </row>
    <row r="6" ht="14.25" customHeight="1">
      <c r="B6" s="80" t="s">
        <v>125</v>
      </c>
      <c r="C6" s="81"/>
      <c r="D6" s="82" t="s">
        <v>123</v>
      </c>
      <c r="E6" s="83" t="s">
        <v>123</v>
      </c>
      <c r="F6" s="82" t="s">
        <v>123</v>
      </c>
      <c r="G6" s="81"/>
      <c r="H6" s="83"/>
      <c r="I6" s="81"/>
      <c r="J6" s="83"/>
    </row>
    <row r="7" ht="14.25" customHeight="1">
      <c r="B7" s="84" t="s">
        <v>126</v>
      </c>
      <c r="C7" s="85" t="s">
        <v>127</v>
      </c>
      <c r="D7" s="86" t="s">
        <v>128</v>
      </c>
      <c r="E7" s="87" t="s">
        <v>129</v>
      </c>
      <c r="F7" s="86" t="s">
        <v>130</v>
      </c>
      <c r="G7" s="85" t="s">
        <v>131</v>
      </c>
      <c r="H7" s="87" t="s">
        <v>132</v>
      </c>
      <c r="I7" s="85" t="s">
        <v>129</v>
      </c>
      <c r="J7" s="87" t="s">
        <v>129</v>
      </c>
    </row>
    <row r="8" ht="14.25" customHeight="1">
      <c r="B8" s="80" t="s">
        <v>133</v>
      </c>
      <c r="C8" s="81"/>
      <c r="D8" s="82"/>
      <c r="E8" s="83" t="s">
        <v>123</v>
      </c>
      <c r="F8" s="82"/>
      <c r="G8" s="81" t="s">
        <v>123</v>
      </c>
      <c r="H8" s="83" t="s">
        <v>123</v>
      </c>
      <c r="I8" s="81"/>
      <c r="J8" s="83"/>
    </row>
    <row r="9" ht="14.25" customHeight="1">
      <c r="B9" s="84" t="s">
        <v>134</v>
      </c>
      <c r="C9" s="85" t="s">
        <v>123</v>
      </c>
      <c r="D9" s="86" t="s">
        <v>123</v>
      </c>
      <c r="E9" s="87" t="s">
        <v>123</v>
      </c>
      <c r="F9" s="86" t="s">
        <v>123</v>
      </c>
      <c r="G9" s="85" t="s">
        <v>123</v>
      </c>
      <c r="H9" s="87" t="s">
        <v>123</v>
      </c>
      <c r="I9" s="85"/>
      <c r="J9" s="87" t="s">
        <v>123</v>
      </c>
    </row>
    <row r="10" ht="14.25" customHeight="1">
      <c r="B10" s="80" t="s">
        <v>135</v>
      </c>
      <c r="C10" s="81" t="s">
        <v>123</v>
      </c>
      <c r="D10" s="82" t="s">
        <v>123</v>
      </c>
      <c r="E10" s="83"/>
      <c r="F10" s="82"/>
      <c r="G10" s="81" t="s">
        <v>123</v>
      </c>
      <c r="H10" s="83" t="s">
        <v>123</v>
      </c>
      <c r="I10" s="81" t="s">
        <v>123</v>
      </c>
      <c r="J10" s="83" t="s">
        <v>123</v>
      </c>
    </row>
    <row r="11" ht="14.25" customHeight="1">
      <c r="B11" s="84" t="s">
        <v>136</v>
      </c>
      <c r="C11" s="85" t="s">
        <v>123</v>
      </c>
      <c r="D11" s="86" t="s">
        <v>123</v>
      </c>
      <c r="E11" s="87"/>
      <c r="F11" s="86" t="s">
        <v>123</v>
      </c>
      <c r="G11" s="85"/>
      <c r="H11" s="87"/>
      <c r="I11" s="85"/>
      <c r="J11" s="87"/>
    </row>
    <row r="12" ht="14.25" customHeight="1">
      <c r="B12" s="88" t="s">
        <v>137</v>
      </c>
      <c r="C12" s="89" t="s">
        <v>123</v>
      </c>
      <c r="D12" s="90" t="s">
        <v>123</v>
      </c>
      <c r="E12" s="91"/>
      <c r="F12" s="90"/>
      <c r="G12" s="89"/>
      <c r="H12" s="91"/>
      <c r="I12" s="89"/>
      <c r="J12" s="91"/>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2:E2"/>
    <mergeCell ref="G2:H2"/>
    <mergeCell ref="I2:J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9.71"/>
    <col customWidth="1" min="3" max="3" width="65.71"/>
    <col customWidth="1" min="4" max="4" width="49.29"/>
    <col customWidth="1" min="5" max="26" width="8.71"/>
  </cols>
  <sheetData>
    <row r="1" ht="14.25" customHeight="1">
      <c r="B1" s="2" t="s">
        <v>138</v>
      </c>
      <c r="C1" s="2" t="s">
        <v>101</v>
      </c>
      <c r="D1" s="2" t="s">
        <v>139</v>
      </c>
    </row>
    <row r="2" ht="14.25" customHeight="1">
      <c r="B2" s="59" t="s">
        <v>140</v>
      </c>
      <c r="C2" s="59" t="s">
        <v>141</v>
      </c>
      <c r="D2" s="59" t="s">
        <v>142</v>
      </c>
      <c r="F2" s="67"/>
    </row>
    <row r="3" ht="14.25" customHeight="1">
      <c r="A3" s="68" t="s">
        <v>103</v>
      </c>
      <c r="B3" s="55" t="s">
        <v>143</v>
      </c>
      <c r="C3" s="55" t="s">
        <v>144</v>
      </c>
      <c r="D3" s="55" t="s">
        <v>145</v>
      </c>
      <c r="F3" s="67"/>
    </row>
    <row r="4" ht="14.25" customHeight="1">
      <c r="B4" s="59" t="s">
        <v>20</v>
      </c>
      <c r="C4" s="59" t="s">
        <v>146</v>
      </c>
      <c r="D4" s="59" t="s">
        <v>147</v>
      </c>
      <c r="F4" s="67"/>
    </row>
    <row r="5" ht="14.25" customHeight="1">
      <c r="B5" s="55" t="s">
        <v>148</v>
      </c>
      <c r="C5" s="55" t="s">
        <v>149</v>
      </c>
      <c r="D5" s="55" t="s">
        <v>150</v>
      </c>
      <c r="F5" s="67"/>
    </row>
    <row r="6" ht="14.25" customHeight="1">
      <c r="B6" s="59"/>
      <c r="C6" s="59"/>
      <c r="D6" s="59"/>
      <c r="F6" s="67"/>
    </row>
    <row r="7" ht="14.25" customHeight="1">
      <c r="B7" s="55"/>
      <c r="C7" s="55"/>
      <c r="D7" s="55"/>
      <c r="F7" s="67"/>
    </row>
    <row r="8" ht="14.25" customHeight="1">
      <c r="B8" s="59"/>
      <c r="C8" s="59"/>
      <c r="D8" s="59"/>
      <c r="F8" s="67"/>
    </row>
    <row r="9" ht="14.25" customHeight="1">
      <c r="B9" s="69"/>
      <c r="C9" s="69"/>
      <c r="D9" s="69"/>
    </row>
    <row r="10" ht="14.25" customHeight="1">
      <c r="B10" s="70"/>
    </row>
    <row r="11" ht="14.25" customHeight="1">
      <c r="B11" s="70"/>
    </row>
    <row r="12" ht="14.25" customHeight="1">
      <c r="B12" s="70"/>
    </row>
    <row r="13" ht="14.25" customHeight="1">
      <c r="B13" s="70"/>
    </row>
    <row r="14" ht="14.25" customHeight="1">
      <c r="B14" s="70"/>
    </row>
    <row r="15" ht="14.25" customHeight="1">
      <c r="B15" s="70"/>
    </row>
    <row r="16" ht="14.25" customHeight="1">
      <c r="B16" s="70"/>
    </row>
    <row r="17" ht="14.25" customHeight="1">
      <c r="B17" s="70"/>
    </row>
    <row r="18" ht="14.25" customHeight="1">
      <c r="B18" s="70"/>
    </row>
    <row r="19" ht="14.25" customHeight="1">
      <c r="B19" s="70"/>
    </row>
    <row r="20" ht="14.25" customHeight="1">
      <c r="B20" s="70"/>
    </row>
    <row r="21" ht="14.25" customHeight="1">
      <c r="B21" s="70"/>
    </row>
    <row r="22" ht="14.25" customHeight="1">
      <c r="B22" s="70"/>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2020-04-21T13:08:03Z</dcterms:created>
  <dc:creator>Gabby</dc:creator>
</cp:coreProperties>
</file>