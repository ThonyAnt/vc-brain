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TAM" state="visible" r:id="rId5"/>
    <sheet sheetId="3" name="2 year rev build" state="visible" r:id="rId6"/>
    <sheet sheetId="4" name="Exit Scenario" state="visible" r:id="rId7"/>
    <sheet sheetId="5" name="TAM Penetration Required" state="visible" r:id="rId8"/>
  </sheets>
  <calcPr calcId="171027" fullCalcOnLoad="1"/>
</workbook>
</file>

<file path=xl/sharedStrings.xml><?xml version="1.0" encoding="utf-8"?>
<sst xmlns="http://schemas.openxmlformats.org/spreadsheetml/2006/main" count="115" uniqueCount="89">
  <si>
    <t>Company — Company-Specific Model</t>
  </si>
  <si>
    <t>Purpose</t>
  </si>
  <si>
    <t>A deterministic first-pass model populated from the company record.</t>
  </si>
  <si>
    <t>Yellow cells</t>
  </si>
  <si>
    <t>Required or optional investor inputs. They stay blank when the record has no source-backed value.</t>
  </si>
  <si>
    <t>Blue cells</t>
  </si>
  <si>
    <t>Formula outputs. Review assumptions before using the model in an investment decision.</t>
  </si>
  <si>
    <t>Source policy</t>
  </si>
  <si>
    <t>Known company fields are labelled Company record. Derived cells are labelled Formula. No market-size or competitor facts are fabricated.</t>
  </si>
  <si>
    <t>Generated for</t>
  </si>
  <si>
    <t>Company</t>
  </si>
  <si>
    <t>Sector</t>
  </si>
  <si>
    <t>Not provided</t>
  </si>
  <si>
    <t>Stage</t>
  </si>
  <si>
    <t>Company — Market Sizing</t>
  </si>
  <si>
    <t>Company record</t>
  </si>
  <si>
    <t>Target market</t>
  </si>
  <si>
    <t>Input required</t>
  </si>
  <si>
    <t>Market unit</t>
  </si>
  <si>
    <t>target businesses</t>
  </si>
  <si>
    <t>Deterministic sector mapping — edit if needed</t>
  </si>
  <si>
    <t>Known ARR</t>
  </si>
  <si>
    <t>Known customers</t>
  </si>
  <si>
    <t>Customer segment</t>
  </si>
  <si>
    <t>Count of target businesses</t>
  </si>
  <si>
    <t>Addressable %</t>
  </si>
  <si>
    <t>Annual ACV</t>
  </si>
  <si>
    <t>Revenue opportunity</t>
  </si>
  <si>
    <t>Source / note</t>
  </si>
  <si>
    <t>Primary segment</t>
  </si>
  <si>
    <t>Enter a source or diligence note</t>
  </si>
  <si>
    <t>Secondary segment</t>
  </si>
  <si>
    <t>Other addressable segment</t>
  </si>
  <si>
    <t>Total addressable market</t>
  </si>
  <si>
    <t>Implied current market penetration</t>
  </si>
  <si>
    <t>Accuracy note</t>
  </si>
  <si>
    <t>The unit “target businesses” is a starting label, not a claim. Replace it and populate yellow cells with source-backed counts and ACV assumptions.</t>
  </si>
  <si>
    <t>Company — Two-Year Revenue Build</t>
  </si>
  <si>
    <t>Current ARR</t>
  </si>
  <si>
    <t>Annual ARR growth assumption</t>
  </si>
  <si>
    <t>Current customers</t>
  </si>
  <si>
    <t>Optional input</t>
  </si>
  <si>
    <t>Metric</t>
  </si>
  <si>
    <t>Current</t>
  </si>
  <si>
    <t>Q1</t>
  </si>
  <si>
    <t>Q2</t>
  </si>
  <si>
    <t>Q3</t>
  </si>
  <si>
    <t>Q4</t>
  </si>
  <si>
    <t>Q5</t>
  </si>
  <si>
    <t>Q6</t>
  </si>
  <si>
    <t>Q7</t>
  </si>
  <si>
    <t>Q8</t>
  </si>
  <si>
    <t>ARR</t>
  </si>
  <si>
    <t>Quarterly revenue run-rate</t>
  </si>
  <si>
    <t>Projection uses the visible annual growth assumption compounded quarterly. Replace it with a sourced or IC-approved forecast before circulation.</t>
  </si>
  <si>
    <t>Company — Exit Scenario</t>
  </si>
  <si>
    <t>Assumption</t>
  </si>
  <si>
    <t>Value</t>
  </si>
  <si>
    <t>Source</t>
  </si>
  <si>
    <t>Notes</t>
  </si>
  <si>
    <t>Entry valuation</t>
  </si>
  <si>
    <t>Populate before relying on outputs</t>
  </si>
  <si>
    <t>Investment amount</t>
  </si>
  <si>
    <t>Annual ARR growth</t>
  </si>
  <si>
    <t>Exit revenue multiple</t>
  </si>
  <si>
    <t>Years to exit</t>
  </si>
  <si>
    <t>Output</t>
  </si>
  <si>
    <t>Method</t>
  </si>
  <si>
    <t>Exit ARR</t>
  </si>
  <si>
    <t>Current ARR × growth over years</t>
  </si>
  <si>
    <t>Implied exit valuation</t>
  </si>
  <si>
    <t>Exit ARR × revenue multiple</t>
  </si>
  <si>
    <t>Entry ownership</t>
  </si>
  <si>
    <t>Investment ÷ entry valuation</t>
  </si>
  <si>
    <t>Gross proceeds</t>
  </si>
  <si>
    <t>Exit valuation × ownership; dilution not modelled</t>
  </si>
  <si>
    <t>Gross MOIC</t>
  </si>
  <si>
    <t>Gross proceeds ÷ investment</t>
  </si>
  <si>
    <t>This simplified model intentionally excludes future rounds, option-pool expansion, liquidation preferences, taxes, and fees. Add dilution before using the ownership or return outputs for an IC decision.</t>
  </si>
  <si>
    <t>Company — TAM Penetration Required</t>
  </si>
  <si>
    <t>Input / output</t>
  </si>
  <si>
    <t>Interpretation</t>
  </si>
  <si>
    <t>TAM sheet</t>
  </si>
  <si>
    <t>Requires source-backed market inputs</t>
  </si>
  <si>
    <t>Exit Scenario</t>
  </si>
  <si>
    <t>Projected company revenue at exit</t>
  </si>
  <si>
    <t>Required TAM penetration</t>
  </si>
  <si>
    <t>Formula</t>
  </si>
  <si>
    <t>Exit ARR ÷ 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</si>
</sst>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;[Red]-$#,##0"/>
    <numFmt numFmtId="165" formatCode="0.0%"/>
    <numFmt numFmtId="166" formatCode="0.0x"/>
    <numFmt numFmtId="167" formatCode="0.0"/>
  </numFmts>
  <fonts count="5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</font>
    <font>
      <b/>
      <color rgb="FFFFFF"/>
    </font>
    <font>
      <b/>
      <color rgb="FF3333"/>
    </font>
  </fonts>
  <fills count="5">
    <fill>
      <patternFill patternType="none"/>
    </fill>
    <fill>
      <patternFill patternType="gray125"/>
    </fill>
    <fill>
      <patternFill patternType="solid">
        <fgColor rgb="7F0000"/>
      </patternFill>
    </fill>
    <fill>
      <patternFill patternType="solid">
        <fgColor rgb="FFF2CC"/>
      </patternFill>
    </fill>
    <fill>
      <patternFill patternType="solid">
        <fgColor rgb="D8E5E9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3" borderId="1" xfId="0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0" fontId="3" fillId="2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/>
    <xf numFmtId="165" fontId="2" fillId="4" borderId="1" xfId="0" applyNumberFormat="1" applyFont="1" applyFill="1" applyBorder="1"/>
    <xf numFmtId="0" fontId="4" fillId="0" borderId="0" xfId="0" applyFont="1"/>
    <xf numFmtId="0" fontId="0" fillId="3" borderId="0" xfId="0" applyFill="1" applyAlignment="1">
      <alignment vertical="top" wrapText="1"/>
    </xf>
    <xf numFmtId="165" fontId="0" fillId="3" borderId="1" xfId="0" applyNumberFormat="1" applyFill="1" applyBorder="1"/>
    <xf numFmtId="166" fontId="0" fillId="3" borderId="1" xfId="0" applyNumberFormat="1" applyFill="1" applyBorder="1"/>
    <xf numFmtId="167" fontId="0" fillId="3" borderId="1" xfId="0" applyNumberFormat="1" applyFill="1" applyBorder="1"/>
    <xf numFmtId="166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8" customWidth="1"/>
    <col min="5" max="5" width="22" customWidth="1"/>
    <col min="6" max="6" width="28" customWidth="1"/>
  </cols>
  <sheetData>
    <row r="1" spans="1:6" x14ac:dyDescent="0.25">
      <c r="A1" s="1" t="s">
        <v>14</v>
      </c>
      <c r="B1" s="1"/>
      <c r="C1" s="1"/>
      <c r="D1" s="1"/>
      <c r="E1" s="1"/>
      <c r="F1" s="1"/>
    </row>
    <row r="3" spans="1:3" x14ac:dyDescent="0.25">
      <c r="A3" s="4" t="s">
        <v>10</v>
      </c>
      <c r="B3" t="s">
        <v>10</v>
      </c>
      <c r="C3" t="s">
        <v>15</v>
      </c>
    </row>
    <row r="4" spans="1:3" x14ac:dyDescent="0.25">
      <c r="A4" s="4" t="s">
        <v>16</v>
      </c>
      <c r="B4" s="5"/>
      <c r="C4" t="s">
        <v>17</v>
      </c>
    </row>
    <row r="5" spans="1:3" x14ac:dyDescent="0.25">
      <c r="A5" s="4" t="s">
        <v>18</v>
      </c>
      <c r="B5" s="5" t="s">
        <v>19</v>
      </c>
      <c r="C5" t="s">
        <v>20</v>
      </c>
    </row>
    <row r="6" spans="1:3" x14ac:dyDescent="0.25">
      <c r="A6" s="4" t="s">
        <v>21</v>
      </c>
      <c r="B6" s="6"/>
      <c r="C6" t="s">
        <v>17</v>
      </c>
    </row>
    <row r="7" spans="1:3" x14ac:dyDescent="0.25">
      <c r="A7" s="4" t="s">
        <v>22</v>
      </c>
      <c r="B7" s="7"/>
      <c r="C7" t="s">
        <v>17</v>
      </c>
    </row>
    <row r="9" spans="1:6" x14ac:dyDescent="0.25">
      <c r="A9" s="8" t="s">
        <v>23</v>
      </c>
      <c r="B9" s="8" t="s">
        <v>24</v>
      </c>
      <c r="C9" s="8" t="s">
        <v>25</v>
      </c>
      <c r="D9" s="8" t="s">
        <v>26</v>
      </c>
      <c r="E9" s="8" t="s">
        <v>27</v>
      </c>
      <c r="F9" s="8" t="s">
        <v>28</v>
      </c>
    </row>
    <row r="10" spans="1:6" x14ac:dyDescent="0.25">
      <c r="A10" t="s">
        <v>29</v>
      </c>
      <c r="B10" s="5"/>
      <c r="C10" s="5"/>
      <c r="D10" s="5"/>
      <c r="E10" s="9">
        <f>IF(COUNT(B10:D10)&lt;3,"",B10*C10*D10)</f>
      </c>
      <c r="F10" s="5" t="s">
        <v>30</v>
      </c>
    </row>
    <row r="11" spans="1:6" x14ac:dyDescent="0.25">
      <c r="A11" t="s">
        <v>31</v>
      </c>
      <c r="B11" s="5"/>
      <c r="C11" s="5"/>
      <c r="D11" s="5"/>
      <c r="E11" s="9">
        <f>IF(COUNT(B11:D11)&lt;3,"",B11*C11*D11)</f>
      </c>
      <c r="F11" s="5" t="s">
        <v>30</v>
      </c>
    </row>
    <row r="12" spans="1:6" x14ac:dyDescent="0.25">
      <c r="A12" t="s">
        <v>32</v>
      </c>
      <c r="B12" s="5"/>
      <c r="C12" s="5"/>
      <c r="D12" s="5"/>
      <c r="E12" s="9">
        <f>IF(COUNT(B12:D12)&lt;3,"",B12*C12*D12)</f>
      </c>
      <c r="F12" s="5" t="s">
        <v>30</v>
      </c>
    </row>
    <row r="13" spans="1:5" x14ac:dyDescent="0.25">
      <c r="A13" s="4" t="s">
        <v>33</v>
      </c>
      <c r="E13" s="9">
        <f>IF(COUNT(E10:E12)=0,"",SUM(E10:E12))</f>
      </c>
    </row>
    <row r="15" spans="1:5" x14ac:dyDescent="0.25">
      <c r="A15" t="s">
        <v>34</v>
      </c>
      <c r="E15" s="10">
        <f>IF(OR(B6="",E13=""),"",B6/E13)</f>
      </c>
    </row>
    <row r="17" spans="1:6" x14ac:dyDescent="0.25">
      <c r="A17" s="11" t="s">
        <v>35</v>
      </c>
      <c r="B17" s="12" t="s">
        <v>36</v>
      </c>
      <c r="C17" s="12"/>
      <c r="D17" s="12"/>
      <c r="E17" s="12"/>
      <c r="F17" s="12"/>
    </row>
    <row r="18" spans="2:6" x14ac:dyDescent="0.25">
      <c r="B18" s="12"/>
      <c r="C18" s="12"/>
      <c r="D18" s="12"/>
      <c r="E18" s="12"/>
      <c r="F18" s="12"/>
    </row>
  </sheetData>
  <mergeCells count="2">
    <mergeCell ref="A1:F1"/>
    <mergeCell ref="B17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showGridLines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10" width="15" customWidth="1"/>
  </cols>
  <sheetData>
    <row r="1" spans="1:10" x14ac:dyDescent="0.2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</row>
    <row r="3" spans="1:3" x14ac:dyDescent="0.25">
      <c r="A3" t="s">
        <v>38</v>
      </c>
      <c r="B3" s="6"/>
      <c r="C3" t="s">
        <v>17</v>
      </c>
    </row>
    <row r="4" spans="1:3" x14ac:dyDescent="0.25">
      <c r="A4" t="s">
        <v>39</v>
      </c>
      <c r="B4" s="13"/>
      <c r="C4" t="s">
        <v>17</v>
      </c>
    </row>
    <row r="5" spans="1:3" x14ac:dyDescent="0.25">
      <c r="A5" t="s">
        <v>40</v>
      </c>
      <c r="B5" s="5"/>
      <c r="C5" t="s">
        <v>41</v>
      </c>
    </row>
    <row r="7" spans="1:10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46</v>
      </c>
      <c r="F7" s="8" t="s">
        <v>47</v>
      </c>
      <c r="G7" s="8" t="s">
        <v>48</v>
      </c>
      <c r="H7" s="8" t="s">
        <v>49</v>
      </c>
      <c r="I7" s="8" t="s">
        <v>50</v>
      </c>
      <c r="J7" s="8" t="s">
        <v>51</v>
      </c>
    </row>
    <row r="8" spans="1:10" x14ac:dyDescent="0.25">
      <c r="A8" t="s">
        <v>52</v>
      </c>
      <c r="B8" s="9">
        <f>IF(B3="","",B3)</f>
      </c>
      <c r="C8" s="9">
        <f>IF(OR(B8="",$B$4=""),"",B8*(1+$B$4)^(1/4))</f>
      </c>
      <c r="D8" s="9">
        <f>IF(OR(C8="",$B$4=""),"",C8*(1+$B$4)^(1/4))</f>
      </c>
      <c r="E8" s="9">
        <f>IF(OR(D8="",$B$4=""),"",D8*(1+$B$4)^(1/4))</f>
      </c>
      <c r="F8" s="9">
        <f>IF(OR(E8="",$B$4=""),"",E8*(1+$B$4)^(1/4))</f>
      </c>
      <c r="G8" s="9">
        <f>IF(OR(F8="",$B$4=""),"",F8*(1+$B$4)^(1/4))</f>
      </c>
      <c r="H8" s="9">
        <f>IF(OR(G8="",$B$4=""),"",G8*(1+$B$4)^(1/4))</f>
      </c>
      <c r="I8" s="9">
        <f>IF(OR(H8="",$B$4=""),"",H8*(1+$B$4)^(1/4))</f>
      </c>
      <c r="J8" s="9">
        <f>IF(OR(I8="",$B$4=""),"",I8*(1+$B$4)^(1/4))</f>
      </c>
    </row>
    <row r="9" spans="1:10" x14ac:dyDescent="0.25">
      <c r="A9" t="s">
        <v>53</v>
      </c>
      <c r="B9" s="9">
        <f>IF(B8="","",B8/4)</f>
      </c>
      <c r="C9" s="9">
        <f>IF(C8="","",C8/4)</f>
      </c>
      <c r="D9" s="9">
        <f>IF(D8="","",D8/4)</f>
      </c>
      <c r="E9" s="9">
        <f>IF(E8="","",E8/4)</f>
      </c>
      <c r="F9" s="9">
        <f>IF(F8="","",F8/4)</f>
      </c>
      <c r="G9" s="9">
        <f>IF(G8="","",G8/4)</f>
      </c>
      <c r="H9" s="9">
        <f>IF(H8="","",H8/4)</f>
      </c>
      <c r="I9" s="9">
        <f>IF(I8="","",I8/4)</f>
      </c>
      <c r="J9" s="9">
        <f>IF(J8="","",J8/4)</f>
      </c>
    </row>
    <row r="12" spans="1:10" x14ac:dyDescent="0.25">
      <c r="A12" s="12" t="s">
        <v>54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</sheetData>
  <mergeCells count="2">
    <mergeCell ref="A1:J1"/>
    <mergeCell ref="A12:J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0" customWidth="1"/>
    <col min="3" max="3" width="24" customWidth="1"/>
    <col min="4" max="4" width="50" customWidth="1"/>
  </cols>
  <sheetData>
    <row r="1" spans="1:4" x14ac:dyDescent="0.25">
      <c r="A1" s="1" t="s">
        <v>55</v>
      </c>
      <c r="B1" s="1"/>
      <c r="C1" s="1"/>
      <c r="D1" s="1"/>
    </row>
    <row r="3" spans="1:4" x14ac:dyDescent="0.25">
      <c r="A3" s="8" t="s">
        <v>56</v>
      </c>
      <c r="B3" s="8" t="s">
        <v>57</v>
      </c>
      <c r="C3" s="8" t="s">
        <v>58</v>
      </c>
      <c r="D3" s="8" t="s">
        <v>59</v>
      </c>
    </row>
    <row r="4" spans="1:4" x14ac:dyDescent="0.25">
      <c r="A4" t="s">
        <v>60</v>
      </c>
      <c r="B4" s="6"/>
      <c r="C4" t="s">
        <v>17</v>
      </c>
      <c r="D4" t="s">
        <v>61</v>
      </c>
    </row>
    <row r="5" spans="1:4" x14ac:dyDescent="0.25">
      <c r="A5" t="s">
        <v>62</v>
      </c>
      <c r="B5" s="6"/>
      <c r="C5" t="s">
        <v>17</v>
      </c>
      <c r="D5" t="s">
        <v>61</v>
      </c>
    </row>
    <row r="6" spans="1:4" x14ac:dyDescent="0.25">
      <c r="A6" t="s">
        <v>38</v>
      </c>
      <c r="B6" s="6"/>
      <c r="C6" t="s">
        <v>17</v>
      </c>
      <c r="D6" t="s">
        <v>61</v>
      </c>
    </row>
    <row r="7" spans="1:4" x14ac:dyDescent="0.25">
      <c r="A7" t="s">
        <v>63</v>
      </c>
      <c r="B7" s="13"/>
      <c r="C7" t="s">
        <v>17</v>
      </c>
      <c r="D7" t="s">
        <v>61</v>
      </c>
    </row>
    <row r="8" spans="1:4" x14ac:dyDescent="0.25">
      <c r="A8" t="s">
        <v>64</v>
      </c>
      <c r="B8" s="14"/>
      <c r="C8" t="s">
        <v>17</v>
      </c>
      <c r="D8" t="s">
        <v>61</v>
      </c>
    </row>
    <row r="9" spans="1:4" x14ac:dyDescent="0.25">
      <c r="A9" t="s">
        <v>65</v>
      </c>
      <c r="B9" s="15"/>
      <c r="C9" t="s">
        <v>17</v>
      </c>
      <c r="D9" t="s">
        <v>61</v>
      </c>
    </row>
    <row r="11" spans="1:4" x14ac:dyDescent="0.25">
      <c r="A11" s="8" t="s">
        <v>66</v>
      </c>
      <c r="B11" s="8" t="s">
        <v>57</v>
      </c>
      <c r="C11" s="8" t="s">
        <v>67</v>
      </c>
    </row>
    <row r="12" spans="1:4" x14ac:dyDescent="0.25">
      <c r="A12" t="s">
        <v>68</v>
      </c>
      <c r="B12" s="9">
        <f>IF(COUNT(B6,B7,B9)&lt;3,"",B6*(1+B7)^B9)</f>
      </c>
      <c r="C12" t="s">
        <v>69</v>
      </c>
    </row>
    <row r="13" spans="1:4" x14ac:dyDescent="0.25">
      <c r="A13" t="s">
        <v>70</v>
      </c>
      <c r="B13" s="9">
        <f>IF(COUNT(B12,B8)&lt;2,"",B12*B8)</f>
      </c>
      <c r="C13" t="s">
        <v>71</v>
      </c>
    </row>
    <row r="14" spans="1:4" x14ac:dyDescent="0.25">
      <c r="A14" t="s">
        <v>72</v>
      </c>
      <c r="B14" s="10">
        <f>IF(COUNT(B4,B5)&lt;2,"",B5/B4)</f>
      </c>
      <c r="C14" t="s">
        <v>73</v>
      </c>
    </row>
    <row r="15" spans="1:4" x14ac:dyDescent="0.25">
      <c r="A15" t="s">
        <v>74</v>
      </c>
      <c r="B15" s="9">
        <f>IF(COUNT(B13,B14)&lt;2,"",B13*B14)</f>
      </c>
      <c r="C15" t="s">
        <v>75</v>
      </c>
    </row>
    <row r="16" spans="1:4" x14ac:dyDescent="0.25">
      <c r="A16" t="s">
        <v>76</v>
      </c>
      <c r="B16" s="16">
        <f>IF(COUNT(B15,B5)&lt;2,"",B15/B5)</f>
      </c>
      <c r="C16" t="s">
        <v>77</v>
      </c>
    </row>
    <row r="19" spans="1:4" x14ac:dyDescent="0.25">
      <c r="A19" s="12" t="s">
        <v>78</v>
      </c>
      <c r="B19" s="12"/>
      <c r="C19" s="12"/>
      <c r="D19" s="12"/>
    </row>
    <row r="20" spans="1:4" x14ac:dyDescent="0.25">
      <c r="A20" s="12"/>
      <c r="B20" s="12"/>
      <c r="C20" s="12"/>
      <c r="D20" s="12"/>
    </row>
  </sheetData>
  <mergeCells count="2">
    <mergeCell ref="A1:D1"/>
    <mergeCell ref="A19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showGridLines="0"/>
  </sheetViews>
  <sheetFormatPr defaultRowHeight="15" outlineLevelRow="0" outlineLevelCol="0" x14ac:dyDescent="55"/>
  <cols>
    <col min="1" max="1" width="38" customWidth="1"/>
    <col min="2" max="2" width="22" customWidth="1"/>
    <col min="3" max="3" width="28" customWidth="1"/>
    <col min="4" max="4" width="52" customWidth="1"/>
  </cols>
  <sheetData>
    <row r="1" spans="1:4" x14ac:dyDescent="0.25">
      <c r="A1" s="1" t="s">
        <v>79</v>
      </c>
      <c r="B1" s="1"/>
      <c r="C1" s="1"/>
      <c r="D1" s="1"/>
    </row>
    <row r="3" spans="1:4" x14ac:dyDescent="0.25">
      <c r="A3" s="8" t="s">
        <v>80</v>
      </c>
      <c r="B3" s="8" t="s">
        <v>57</v>
      </c>
      <c r="C3" s="8" t="s">
        <v>58</v>
      </c>
      <c r="D3" s="8" t="s">
        <v>81</v>
      </c>
    </row>
    <row r="4" spans="1:4" x14ac:dyDescent="0.25">
      <c r="A4" t="s">
        <v>33</v>
      </c>
      <c r="B4" s="9">
        <f>TAM!E13</f>
      </c>
      <c r="C4" t="s">
        <v>82</v>
      </c>
      <c r="D4" t="s">
        <v>83</v>
      </c>
    </row>
    <row r="5" spans="1:4" x14ac:dyDescent="0.25">
      <c r="A5" t="s">
        <v>68</v>
      </c>
      <c r="B5" s="9">
        <f>'Exit Scenario'!B12</f>
      </c>
      <c r="C5" t="s">
        <v>84</v>
      </c>
      <c r="D5" t="s">
        <v>85</v>
      </c>
    </row>
    <row r="6" spans="1:4" x14ac:dyDescent="0.25">
      <c r="A6" t="s">
        <v>86</v>
      </c>
      <c r="B6" s="10">
        <f>IF(COUNT(B4,B5)&lt;2,"",B5/B4)</f>
      </c>
      <c r="C6" t="s">
        <v>87</v>
      </c>
      <c r="D6" t="s">
        <v>88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TAM</vt:lpstr>
      <vt:lpstr>2 year rev build</vt:lpstr>
      <vt:lpstr>Exit Scenario</vt:lpstr>
      <vt:lpstr>TAM Penetration Required</vt:lpstr>
    </vt:vector>
  </TitlesOfParts>
  <Company>Company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Brain</dc:creator>
  <dc:title>Company diligence model</dc:title>
  <dc:subject>Company-specific venture diligence workbook</dc:subject>
  <dc:description/>
  <cp:keywords/>
  <cp:category/>
  <cp:lastModifiedBy>Unknown</cp:lastModifiedBy>
  <dcterms:created xsi:type="dcterms:W3CDTF">2026-07-18T23:54:15Z</dcterms:created>
  <dcterms:modified xsi:type="dcterms:W3CDTF">2026-07-18T23:54:15Z</dcterms:modified>
</cp:coreProperties>
</file>