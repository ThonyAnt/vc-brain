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M" sheetId="1" r:id="rId4"/>
    <sheet state="visible" name="2 year rev build" sheetId="2" r:id="rId5"/>
    <sheet state="visible" name="Exit Scenario" sheetId="3" r:id="rId6"/>
    <sheet state="visible" name="TAM Penetration Required" sheetId="4" r:id="rId7"/>
  </sheets>
  <externalReferences>
    <externalReference r:id="rId8"/>
    <externalReference r:id="rId9"/>
    <externalReference r:id="rId10"/>
  </externalReferences>
  <definedNames>
    <definedName name="acqDemoConversionRate">'[1]Customer Acquisition Detail'!$B$15</definedName>
    <definedName name="ACV">[1]Assumptions!#REF!</definedName>
    <definedName name="AverageContractValue">[1]Assumptions!#REF!</definedName>
    <definedName name="AWSCostPerCustomer">'[1]Cost Detail'!$C$6</definedName>
    <definedName name="begCustomerAcquisitions">'[1]Customer Acquisition Detail'!#REF!</definedName>
    <definedName name="benefitsLoad">'[1]Cost Detail'!$C$33</definedName>
    <definedName name="benefitsRate">[2]Controls!$B$12</definedName>
    <definedName name="bhb">[1]Assumptions!#REF!</definedName>
    <definedName name="BookedDemoConversionRate">'[1]Customer Acquisition Detail'!$B$8</definedName>
    <definedName name="bubbleMainAppSubscription">'[1]Cost Detail'!$C$7</definedName>
    <definedName name="bubbleSubAppSubscription">'[1]Cost Detail'!$C$8</definedName>
    <definedName name="CommunityMemberGrowthRate">'[1]Customer Acquisition Detail'!$C$13</definedName>
    <definedName name="ContentMarketingSpendGrowthRate">'[1]Cost Detail'!$D$30</definedName>
    <definedName name="customerAcqMonthlyGrowthRate">'[1]Customer Acquisition Detail'!#REF!</definedName>
    <definedName name="demoCloseConversionRate">'[1]Customer Acquisition Detail'!$B$17</definedName>
    <definedName name="employeeOnboardingCost">'[1]Cost Detail'!$C$34</definedName>
    <definedName name="employeeTechCost">'[1]Cost Detail'!#REF!</definedName>
    <definedName name="EventRegistrationsRepeatAcqRate">'[1]Customer Acquisition Detail'!$E$12</definedName>
    <definedName name="monthlyContentMarketingSpend">'[1]Cost Detail'!$C$30</definedName>
    <definedName name="monthlyERGevents">'[1]Cost Detail'!$C$29</definedName>
    <definedName name="monthlyLegalCounsel">'[1]Cost Detail'!$C$26</definedName>
    <definedName name="monthlyLegalFees">'[1]Cost Detail'!#REF!</definedName>
    <definedName name="OrganicTrafficRepeatAcqRate">'[1]Customer Acquisition Detail'!$E$7</definedName>
    <definedName name="seedFinanceAmount">[1]Assumptions!$B$11</definedName>
    <definedName name="Software1000seats">[1]Assumptions!#REF!</definedName>
    <definedName name="Software2000seats">[1]Assumptions!#REF!</definedName>
    <definedName name="Software250seats">[1]Assumptions!#REF!</definedName>
    <definedName name="Software3000seats">[1]Assumptions!#REF!</definedName>
    <definedName name="Software500seats">[1]Assumptions!#REF!</definedName>
    <definedName name="SoftwareEnterprise">[1]Assumptions!#REF!</definedName>
    <definedName name="StartDate">[2]Controls!$B$6</definedName>
    <definedName name="subActiveCampaign">'[1]Cost Detail'!#REF!</definedName>
    <definedName name="subGSuite">'[1]Cost Detail'!$C$23</definedName>
    <definedName name="TemplateDownloadRepeatAcqRate2">'[1]Customer Acquisition Detail'!$E$11</definedName>
    <definedName name="tt">[3]Cover!$C$6</definedName>
    <definedName name="year1ACV">[1]Assumptions!$B$3</definedName>
    <definedName name="year2ACV">[1]Assumptions!$B$4</definedName>
    <definedName name="year3ACV">[1]Assumptions!$B$5</definedName>
    <definedName name="TrainingCostPerEmployee">#REF!</definedName>
    <definedName name="SPR01B_18">#REF!</definedName>
    <definedName name="LItoUserConversion">#REF!</definedName>
    <definedName name="AverageARDays">#REF!</definedName>
    <definedName name="TrainingPerEmployeePerMonth">#REF!</definedName>
    <definedName name="CPCGoogle">#REF!</definedName>
    <definedName name="eCommerceMargin">#REF!</definedName>
    <definedName name="AverageCPConFACEBOOK">#REF!</definedName>
    <definedName name="AvgCPConLinkedIn">#REF!</definedName>
    <definedName name="SEMToEcommerce">#REF!</definedName>
    <definedName name="DirectTrafficMultiplier">#REF!</definedName>
    <definedName name="OpeningCashBalance">#REF!</definedName>
    <definedName name="LegalAndAccountingMonthly">#REF!</definedName>
    <definedName name="MarketingPercentofMRR">#REF!</definedName>
    <definedName name="UserToPremiumTrialConversion">#REF!</definedName>
    <definedName name="OrganicToSubscriberConversion">#REF!</definedName>
    <definedName name="InsuranceBenefitsMultiplier">#REF!</definedName>
    <definedName localSheetId="0" name="SPR01C_18">#REF!</definedName>
    <definedName name="SPR01A_18">#REF!</definedName>
    <definedName name="FBtoSubscriberConversion">#REF!</definedName>
    <definedName name="VIsitsPerFBPicturePost">#REF!</definedName>
    <definedName name="OrdersPerWarehouseHelpPerson">#REF!</definedName>
    <definedName name="SteadyStateMontlyFBSpend">#REF!</definedName>
    <definedName name="SteadyStateMontlyLISpend">#REF!</definedName>
    <definedName name="MonthlySubscriptionPrice">#REF!</definedName>
    <definedName name="TechCostPerEmployeePerMonth">#REF!</definedName>
    <definedName name="FBtoUserConversion">#REF!</definedName>
    <definedName name="MrktPercentofMRR">#REF!</definedName>
    <definedName name="SeriesAFunding">#REF!</definedName>
    <definedName name="InternetCostPer1MMVisits">#REF!</definedName>
    <definedName name="AverageCPCGoogle">#REF!</definedName>
    <definedName name="SteadyStateMontlySEMSpend">#REF!</definedName>
    <definedName name="Internet_Infrastructure_base_cost___mo">#REF!</definedName>
    <definedName name="VIsitsPerFBVideoPost">#REF!</definedName>
    <definedName name="AvgCPConSEMGOOGLE">#REF!</definedName>
    <definedName name="RecruitingPerNewEmployee">#REF!</definedName>
    <definedName name="OrganicSEOTrafficMonthlyGrowthRate">#REF!</definedName>
    <definedName name="PagesPerVisit">#REF!</definedName>
    <definedName name="FacebookToSubscriber">#REF!</definedName>
    <definedName name="SEMToSubscriber">#REF!</definedName>
    <definedName name="MaxCPMOnAdsSold">#REF!</definedName>
    <definedName name="InternetIncrementalCost">#REF!</definedName>
    <definedName localSheetId="0" name="SPR01B_18">#REF!</definedName>
    <definedName name="PremiumTrialtoCustomerConversion">#REF!</definedName>
    <definedName name="CPMGrowthPerMonth">#REF!</definedName>
    <definedName name="TaxesAndBenefits">#REF!</definedName>
    <definedName name="MonthlyChurn">#REF!</definedName>
    <definedName name="InventoryDaysOnHand">#REF!</definedName>
    <definedName name="TravelCostPerEmployeePerMonth">#REF!</definedName>
    <definedName name="SEMtoUserConversion">#REF!</definedName>
    <definedName name="SalesEmployeeRevMultiplier">#REF!</definedName>
    <definedName name="RecruitingPerAddedEmployee">#REF!</definedName>
    <definedName name="FacebookToEcommerce">#REF!</definedName>
    <definedName name="LegalAndAccountingCostPerMonth">#REF!</definedName>
    <definedName name="MonthlySubscriptionChurn">#REF!</definedName>
    <definedName name="OrganicTrafficMonthlyGrowthRate">#REF!</definedName>
    <definedName name="OrganicToEcommerceConversion">#REF!</definedName>
    <definedName name="TechCostPerEmployee">#REF!</definedName>
    <definedName name="AvgCPConFacebook">#REF!</definedName>
    <definedName name="AverageAPDays">#REF!</definedName>
    <definedName name="InternetInfrastructureBaseCost">#REF!</definedName>
    <definedName name="RentPerEmployee">#REF!</definedName>
    <definedName name="LItoSubscriberConversion">#REF!</definedName>
    <definedName name="GrossSubscriptionMargin">#REF!</definedName>
    <definedName name="SPR01C_18">#REF!</definedName>
    <definedName name="BetaSubscriptionPrice">#REF!</definedName>
    <definedName name="SteadyStateMonthlySEMSpend">#REF!</definedName>
    <definedName name="OrganicTrafficToUserConversion">#REF!</definedName>
    <definedName name="RecruitingCommission">#REF!</definedName>
    <definedName name="RentPerEmployeeMonthly">#REF!</definedName>
    <definedName name="AverageEAsPerCompany">#REF!</definedName>
    <definedName localSheetId="0" name="SPR01A_18">#REF!</definedName>
    <definedName name="TravelCostPerEmployee">#REF!</definedName>
    <definedName name="AverageCPCSpend">#REF!</definedName>
    <definedName name="InternetBaseCost">#REF!</definedName>
    <definedName name="SubscriptionMargin">#REF!</definedName>
  </definedNames>
  <calcPr/>
  <extLst>
    <ext uri="GoogleSheetsCustomDataVersion2">
      <go:sheetsCustomData xmlns:go="http://customooxmlschemas.google.com/" r:id="rId11" roundtripDataChecksum="UDjlKdEzE9rXNdcK7U3Ld1pzzVq3EE60OdbKhv/C7LI="/>
    </ext>
  </extLst>
</workbook>
</file>

<file path=xl/sharedStrings.xml><?xml version="1.0" encoding="utf-8"?>
<sst xmlns="http://schemas.openxmlformats.org/spreadsheetml/2006/main" count="133" uniqueCount="98">
  <si>
    <t>Market Sizing</t>
  </si>
  <si>
    <t>Physician Matching Product</t>
  </si>
  <si>
    <t># of physicians in the US</t>
  </si>
  <si>
    <t>Source</t>
  </si>
  <si>
    <t>Practice size</t>
  </si>
  <si>
    <t>% of physicians</t>
  </si>
  <si>
    <t># of physicians*</t>
  </si>
  <si>
    <t>est. volume</t>
  </si>
  <si>
    <t>ACV</t>
  </si>
  <si>
    <t>0-10 physicians</t>
  </si>
  <si>
    <t>11-49 physicians</t>
  </si>
  <si>
    <t>50+ physicians</t>
  </si>
  <si>
    <t>Hospitals</t>
  </si>
  <si>
    <t>Total Rev. Oppty. - Physician Matching Product</t>
  </si>
  <si>
    <t>*based on 1.1M physicians in the US</t>
  </si>
  <si>
    <t>Source: American Medical Association</t>
  </si>
  <si>
    <t>Revenue Expansion Opportunities</t>
  </si>
  <si>
    <t>Expansion Opportunity</t>
  </si>
  <si>
    <t>ACV Lift</t>
  </si>
  <si>
    <t>Applicant Tracking System</t>
  </si>
  <si>
    <t>HCP assumptions</t>
  </si>
  <si>
    <t>Role expansion (e.g., PA, NP)</t>
  </si>
  <si>
    <t>Payroll</t>
  </si>
  <si>
    <t>Total Rev. Expansion Oppty.</t>
  </si>
  <si>
    <t>TAM</t>
  </si>
  <si>
    <t>HCP Market Penetration Assumption</t>
  </si>
  <si>
    <t>Accel Health Revenue Opportunity</t>
  </si>
  <si>
    <t>Assumptions / inputs</t>
  </si>
  <si>
    <t>Total potential customers</t>
  </si>
  <si>
    <t>Run-rate ACV</t>
  </si>
  <si>
    <t>Mgmt</t>
  </si>
  <si>
    <t>2 Year Revenue Build</t>
  </si>
  <si>
    <t>1Q25E</t>
  </si>
  <si>
    <t>2Q25</t>
  </si>
  <si>
    <t>3Q25</t>
  </si>
  <si>
    <t>4Q25</t>
  </si>
  <si>
    <t>1Q26</t>
  </si>
  <si>
    <t>2Q26</t>
  </si>
  <si>
    <t>3Q26</t>
  </si>
  <si>
    <t>4Q26</t>
  </si>
  <si>
    <t>1Q27</t>
  </si>
  <si>
    <t>Total customers</t>
  </si>
  <si>
    <t>Implied penetration of customers</t>
  </si>
  <si>
    <t>ARR</t>
  </si>
  <si>
    <t>ARR growth</t>
  </si>
  <si>
    <t xml:space="preserve"> Exit Assumptions</t>
  </si>
  <si>
    <t>Seed</t>
  </si>
  <si>
    <t>Series A</t>
  </si>
  <si>
    <t>Series B</t>
  </si>
  <si>
    <t>Series C</t>
  </si>
  <si>
    <t>Total</t>
  </si>
  <si>
    <t>Post-money Valuation</t>
  </si>
  <si>
    <t>Raise</t>
  </si>
  <si>
    <t>Ownership</t>
  </si>
  <si>
    <t>HCP Allocation</t>
  </si>
  <si>
    <t>Post Money Options</t>
  </si>
  <si>
    <t>HCP Round Ownership</t>
  </si>
  <si>
    <t>Total HCP Ownership</t>
  </si>
  <si>
    <t>2031 Exit Scenario</t>
  </si>
  <si>
    <t>Exit Revenue (HCP est.)</t>
  </si>
  <si>
    <t>Exit Multiple</t>
  </si>
  <si>
    <t>Exit Purchase Price</t>
  </si>
  <si>
    <t>Exit Ownership</t>
  </si>
  <si>
    <t>HCP Return</t>
  </si>
  <si>
    <t>HCP MOIC</t>
  </si>
  <si>
    <t>Dilution</t>
  </si>
  <si>
    <t>Exit Valuation</t>
  </si>
  <si>
    <t>Initial Check</t>
  </si>
  <si>
    <t xml:space="preserve">HCP Returns and TAM Analysis </t>
  </si>
  <si>
    <t>HCP Fund II Size</t>
  </si>
  <si>
    <t>Fund Return</t>
  </si>
  <si>
    <t>Return Required</t>
  </si>
  <si>
    <t>Current Market Sizing</t>
  </si>
  <si>
    <t>2028 Market Sizing</t>
  </si>
  <si>
    <t>Target Entry Ownership</t>
  </si>
  <si>
    <t>&lt;&lt; From exit model</t>
  </si>
  <si>
    <t>Ownership at Exit</t>
  </si>
  <si>
    <t>@ $50.0k ACV</t>
  </si>
  <si>
    <t>@ 7.0x exit multiple</t>
  </si>
  <si>
    <t>@ $6.0k ACV</t>
  </si>
  <si>
    <t>@ 8.0x exit multiple</t>
  </si>
  <si>
    <t>TAM Penetration Required</t>
  </si>
  <si>
    <t>ARR Multiple</t>
  </si>
  <si>
    <t>ARR at Exit Required</t>
  </si>
  <si>
    <t>Wtd Avg ACV</t>
  </si>
  <si>
    <t>ACV at Exit</t>
  </si>
  <si>
    <t>Number of Customers Required</t>
  </si>
  <si>
    <t>Total Potential Customers</t>
  </si>
  <si>
    <t>&lt;&lt; Market sizing</t>
  </si>
  <si>
    <t>Implied Market Penetration</t>
  </si>
  <si>
    <t>Future Outlook</t>
  </si>
  <si>
    <t>ARR Required ($mm)</t>
  </si>
  <si>
    <t>Total Potential Customers Today</t>
  </si>
  <si>
    <t>Annual CAGR</t>
  </si>
  <si>
    <t>&lt;&lt; Market CAGR</t>
  </si>
  <si>
    <t>Total Customers in Year 7</t>
  </si>
  <si>
    <t>Implied Market Penetration in Year 7</t>
  </si>
  <si>
    <t># of Customers Implied by ACVs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</si>
</sst>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7">
    <numFmt numFmtId="164" formatCode="_(* #,##0_);_(* \(#,##0\);_(* &quot;-&quot;??_);_(@_)"/>
    <numFmt numFmtId="165" formatCode="_(&quot;$&quot;* #,##0_);_(&quot;$&quot;* \(#,##0\);_(&quot;$&quot;* &quot;-&quot;??_);_(@_)"/>
    <numFmt numFmtId="166" formatCode="_(&quot;$&quot;* #,##0_);_(&quot;$&quot;* \(#,##0\);_(&quot;$&quot;* &quot;-&quot;?_);_(@_)"/>
    <numFmt numFmtId="167" formatCode="_(&quot;$&quot;* #,##0.0_);_(&quot;$&quot;* \(#,##0.0\);_(&quot;$&quot;* &quot;-&quot;??_);_(@_)"/>
    <numFmt numFmtId="168" formatCode="&quot;$&quot;#,##0"/>
    <numFmt numFmtId="169" formatCode="_([$$]#,##0.0_)_%;\([$$]#,##0.0\)_%;_(&quot;–&quot;_)_%;_(@_)_%"/>
    <numFmt numFmtId="170" formatCode="_([$$]#,##0.00_)_%;\([$$]#,##0.00\)_%;_(&quot;–&quot;_)_%;_(@_)_%"/>
    <numFmt numFmtId="171" formatCode="_(#,##0.0%_);\(#,##0.0%\);_(&quot;–&quot;_)_%;_(@_)_%"/>
    <numFmt numFmtId="172" formatCode="0.0%"/>
    <numFmt numFmtId="173" formatCode="_(#,##0.00%_);\(#,##0.00%\);_(&quot;–&quot;_)_%;_(@_)_%"/>
    <numFmt numFmtId="174" formatCode="&quot;$&quot;#,##0.00"/>
    <numFmt numFmtId="175" formatCode="&quot;$&quot;#,##0.0_);[Red]\(&quot;$&quot;#,##0.0\)"/>
    <numFmt numFmtId="176" formatCode="0.0\x_);\(0.0\x\);&quot;–&quot;_)"/>
    <numFmt numFmtId="177" formatCode="_(0.0\x_)_)_';_(\(0.0\x\)_'_';_(&quot;–&quot;_)_%;_(@_)_%"/>
    <numFmt numFmtId="178" formatCode="0.00000000%"/>
    <numFmt numFmtId="179" formatCode="0.000%"/>
    <numFmt numFmtId="180" formatCode="[$$]#,##0.0_);\([$$]#,##0.0\)"/>
    <numFmt numFmtId="181" formatCode="&quot;$&quot;#,##0.00_);[Red]\(&quot;$&quot;#,##0.00\)"/>
    <numFmt numFmtId="182" formatCode="&quot;$&quot;#,##0_);[Red]\(&quot;$&quot;#,##0\)"/>
    <numFmt numFmtId="183" formatCode="_(&quot;$&quot;* #,##0.00_);_(&quot;$&quot;* \(#,##0.00\);_(&quot;$&quot;* &quot;-&quot;??_);_(@_)"/>
    <numFmt numFmtId="184" formatCode="[&lt;999950]&quot;$&quot;\ &quot;$&quot;0,&quot;K&quot;;[&lt;999950000]0,,&quot;M&quot;;0,,,&quot;B&quot;"/>
    <numFmt numFmtId="185" formatCode="0.0\x"/>
    <numFmt numFmtId="186" formatCode="[&lt;999950]&quot;$&quot;\ &quot;$&quot;0,&quot;K&quot;;[&lt;999950000]&quot;$&quot;0,,&quot;M&quot;;0,,,&quot;B&quot;"/>
    <numFmt numFmtId="187" formatCode="[&lt;999950]&quot;$&quot;0.0,&quot;K&quot;;[&lt;999950000]0.0,,&quot;M&quot;;0.0,,,&quot;B&quot;"/>
    <numFmt numFmtId="188" formatCode="[&lt;999950]0,&quot;K&quot;;[&lt;999950000]0,,&quot;M&quot;;0,,,&quot;B&quot;"/>
    <numFmt numFmtId="189" formatCode="[&lt;999950]0.0,&quot;K&quot;;[&lt;999950000]0.0,,&quot;M&quot;;0.0,,,&quot;B&quot;"/>
    <numFmt numFmtId="190" formatCode="&quot;$&quot;#,##0.0,,"/>
  </numFmts>
  <fonts count="45">
    <font>
      <sz val="11.0"/>
      <color theme="1"/>
      <name val="Calibri"/>
      <scheme val="minor"/>
    </font>
    <font>
      <sz val="10.0"/>
      <color theme="1"/>
      <name val="Arial"/>
    </font>
    <font>
      <b/>
      <sz val="11.0"/>
      <color rgb="FFFFFFFF"/>
      <name val="Calibri"/>
    </font>
    <font/>
    <font>
      <b/>
      <sz val="10.0"/>
      <color rgb="FF000000"/>
      <name val="Arial"/>
    </font>
    <font>
      <b/>
      <sz val="11.0"/>
      <color rgb="FF000000"/>
      <name val="Calibri"/>
    </font>
    <font>
      <i/>
      <u/>
      <sz val="11.0"/>
      <color theme="10"/>
      <name val="Calibri"/>
    </font>
    <font>
      <b/>
      <sz val="10.0"/>
      <color theme="1"/>
      <name val="Arial"/>
    </font>
    <font>
      <i/>
      <sz val="10.0"/>
      <color theme="1"/>
      <name val="Arial"/>
    </font>
    <font>
      <b/>
      <sz val="10.0"/>
      <color rgb="FF000000"/>
      <name val="Calibri"/>
    </font>
    <font>
      <sz val="11.0"/>
      <color theme="1"/>
      <name val="Calibri"/>
    </font>
    <font>
      <sz val="10.0"/>
      <color rgb="FF002060"/>
      <name val="Calibri"/>
    </font>
    <font>
      <i/>
      <sz val="11.0"/>
      <color theme="1"/>
      <name val="Calibri"/>
    </font>
    <font>
      <b/>
      <sz val="10.0"/>
      <color theme="0"/>
      <name val="Arial"/>
    </font>
    <font>
      <sz val="10.0"/>
      <color theme="1"/>
      <name val="Calibri"/>
    </font>
    <font>
      <b/>
      <sz val="11.0"/>
      <color theme="1"/>
      <name val="Calibri"/>
    </font>
    <font>
      <i/>
      <sz val="10.0"/>
      <color rgb="FF000000"/>
      <name val="Calibri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rgb="FF000000"/>
      <name val="Arial"/>
    </font>
    <font>
      <b/>
      <u/>
      <sz val="10.0"/>
      <color rgb="FF000000"/>
      <name val="Arial"/>
    </font>
    <font>
      <sz val="10.0"/>
      <color rgb="FF0000FF"/>
      <name val="Arial"/>
    </font>
    <font>
      <u/>
      <sz val="11.0"/>
      <color theme="10"/>
      <name val="Calibri"/>
    </font>
    <font>
      <b/>
      <u/>
      <sz val="10.0"/>
      <color theme="0"/>
      <name val="Arial"/>
    </font>
    <font>
      <b/>
      <u/>
      <sz val="10.0"/>
      <color theme="1"/>
      <name val="Arial"/>
    </font>
    <font>
      <sz val="10.0"/>
      <color theme="0"/>
      <name val="Arial"/>
    </font>
    <font>
      <b/>
      <u/>
      <sz val="10.0"/>
      <color theme="0"/>
      <name val="Arial"/>
    </font>
    <font>
      <sz val="11.0"/>
      <color theme="1"/>
      <name val="Arial"/>
    </font>
    <font>
      <sz val="10.0"/>
      <color rgb="FF2B0CE4"/>
      <name val="Arial"/>
    </font>
    <font>
      <b/>
      <u/>
      <sz val="12.0"/>
      <color theme="1"/>
      <name val="Calibri"/>
    </font>
    <font>
      <sz val="12.0"/>
      <color theme="1"/>
      <name val="Calibri"/>
    </font>
    <font>
      <sz val="12.0"/>
      <color rgb="FF00B0F0"/>
      <name val="Calibri"/>
    </font>
    <font>
      <sz val="11.0"/>
      <color rgb="FF00B0F0"/>
      <name val="Arial"/>
    </font>
    <font>
      <sz val="11.0"/>
      <color theme="1"/>
      <name val="Matter"/>
    </font>
    <font>
      <b/>
      <u/>
      <sz val="11.0"/>
      <color theme="0"/>
      <name val="Arial"/>
    </font>
    <font>
      <sz val="11.0"/>
      <color rgb="FF000000"/>
      <name val="Matter"/>
    </font>
    <font>
      <i/>
      <sz val="11.0"/>
      <color theme="1"/>
      <name val="Matter"/>
    </font>
    <font>
      <sz val="11.0"/>
      <color rgb="FF2B0CE4"/>
      <name val="Matter"/>
    </font>
    <font>
      <b/>
      <sz val="11.0"/>
      <color theme="1"/>
      <name val="Matter"/>
    </font>
    <font>
      <sz val="11.0"/>
      <color rgb="FF008E40"/>
      <name val="Matter"/>
    </font>
    <font>
      <b/>
      <sz val="11.0"/>
      <color rgb="FF008E40"/>
      <name val="Matter"/>
    </font>
    <font>
      <b/>
      <u/>
      <sz val="11.0"/>
      <color theme="1"/>
      <name val="Matter"/>
    </font>
    <font>
      <b/>
      <u/>
      <sz val="11.0"/>
      <color theme="1"/>
      <name val="Matter"/>
    </font>
    <font>
      <b/>
      <u/>
      <sz val="11.0"/>
      <color theme="0"/>
      <name val="Matter"/>
    </font>
    <font>
      <sz val="11.0"/>
      <color rgb="FF00B0F0"/>
      <name val="Matter"/>
    </font>
  </fonts>
  <fills count="9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BBCCD1"/>
        <bgColor rgb="FFBBCCD1"/>
      </patternFill>
    </fill>
    <fill>
      <patternFill patternType="solid">
        <fgColor rgb="FFFDAEAE"/>
        <bgColor rgb="FFFDAEAE"/>
      </patternFill>
    </fill>
    <fill>
      <patternFill patternType="solid">
        <fgColor rgb="FFF7DBD8"/>
        <bgColor rgb="FFF7DBD8"/>
      </patternFill>
    </fill>
    <fill>
      <patternFill patternType="solid">
        <fgColor rgb="FFD6E0E3"/>
        <bgColor rgb="FFD6E0E3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</fills>
  <borders count="23">
    <border/>
    <border>
      <left/>
      <top/>
      <bottom/>
    </border>
    <border>
      <top/>
      <bottom/>
    </border>
    <border>
      <right/>
      <top/>
      <bottom/>
    </border>
    <border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hair">
        <color rgb="FFBFBFBF"/>
      </right>
    </border>
    <border>
      <top style="thin">
        <color rgb="FF000000"/>
      </top>
    </border>
    <border>
      <right style="hair">
        <color rgb="FFBFBFBF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hair">
        <color rgb="FFBFBFBF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hair">
        <color rgb="FFBFBFBF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8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0" fontId="4" numFmtId="0" xfId="0" applyBorder="1" applyFont="1"/>
    <xf borderId="4" fillId="0" fontId="5" numFmtId="0" xfId="0" applyAlignment="1" applyBorder="1" applyFont="1">
      <alignment horizontal="right"/>
    </xf>
    <xf borderId="0" fillId="0" fontId="1" numFmtId="164" xfId="0" applyFont="1" applyNumberFormat="1"/>
    <xf borderId="0" fillId="0" fontId="6" numFmtId="0" xfId="0" applyFont="1"/>
    <xf borderId="0" fillId="0" fontId="7" numFmtId="0" xfId="0" applyFont="1"/>
    <xf borderId="0" fillId="0" fontId="7" numFmtId="0" xfId="0" applyAlignment="1" applyFont="1">
      <alignment horizontal="right"/>
    </xf>
    <xf borderId="0" fillId="0" fontId="1" numFmtId="9" xfId="0" applyFont="1" applyNumberFormat="1"/>
    <xf borderId="0" fillId="0" fontId="1" numFmtId="165" xfId="0" applyFont="1" applyNumberFormat="1"/>
    <xf borderId="5" fillId="3" fontId="7" numFmtId="0" xfId="0" applyBorder="1" applyFill="1" applyFont="1"/>
    <xf borderId="5" fillId="3" fontId="7" numFmtId="165" xfId="0" applyBorder="1" applyFont="1" applyNumberFormat="1"/>
    <xf borderId="0" fillId="0" fontId="8" numFmtId="0" xfId="0" applyFont="1"/>
    <xf borderId="0" fillId="0" fontId="1" numFmtId="10" xfId="0" applyFont="1" applyNumberFormat="1"/>
    <xf borderId="5" fillId="4" fontId="7" numFmtId="0" xfId="0" applyBorder="1" applyFill="1" applyFont="1"/>
    <xf borderId="5" fillId="4" fontId="7" numFmtId="166" xfId="0" applyBorder="1" applyFont="1" applyNumberFormat="1"/>
    <xf borderId="0" fillId="0" fontId="7" numFmtId="164" xfId="0" applyFont="1" applyNumberFormat="1"/>
    <xf borderId="0" fillId="0" fontId="1" numFmtId="167" xfId="0" applyFont="1" applyNumberFormat="1"/>
    <xf borderId="0" fillId="0" fontId="9" numFmtId="0" xfId="0" applyFont="1"/>
    <xf borderId="0" fillId="0" fontId="10" numFmtId="0" xfId="0" applyFont="1"/>
    <xf borderId="6" fillId="4" fontId="11" numFmtId="164" xfId="0" applyBorder="1" applyFont="1" applyNumberFormat="1"/>
    <xf borderId="0" fillId="0" fontId="12" numFmtId="0" xfId="0" applyFont="1"/>
    <xf borderId="6" fillId="4" fontId="11" numFmtId="168" xfId="0" applyAlignment="1" applyBorder="1" applyFont="1" applyNumberFormat="1">
      <alignment horizontal="right"/>
    </xf>
    <xf borderId="6" fillId="2" fontId="13" numFmtId="0" xfId="0" applyAlignment="1" applyBorder="1" applyFont="1">
      <alignment horizontal="left"/>
    </xf>
    <xf borderId="6" fillId="2" fontId="13" numFmtId="0" xfId="0" applyAlignment="1" applyBorder="1" applyFont="1">
      <alignment horizontal="right"/>
    </xf>
    <xf borderId="0" fillId="0" fontId="10" numFmtId="1" xfId="0" applyAlignment="1" applyFont="1" applyNumberFormat="1">
      <alignment horizontal="right"/>
    </xf>
    <xf borderId="0" fillId="0" fontId="12" numFmtId="0" xfId="0" applyAlignment="1" applyFont="1">
      <alignment horizontal="left"/>
    </xf>
    <xf borderId="0" fillId="0" fontId="12" numFmtId="10" xfId="0" applyAlignment="1" applyFont="1" applyNumberFormat="1">
      <alignment horizontal="right"/>
    </xf>
    <xf borderId="0" fillId="0" fontId="10" numFmtId="0" xfId="0" applyAlignment="1" applyFont="1">
      <alignment horizontal="left"/>
    </xf>
    <xf borderId="0" fillId="0" fontId="14" numFmtId="168" xfId="0" applyFont="1" applyNumberFormat="1"/>
    <xf borderId="5" fillId="5" fontId="15" numFmtId="0" xfId="0" applyBorder="1" applyFill="1" applyFont="1"/>
    <xf borderId="5" fillId="5" fontId="15" numFmtId="168" xfId="0" applyBorder="1" applyFont="1" applyNumberFormat="1"/>
    <xf borderId="0" fillId="0" fontId="16" numFmtId="0" xfId="0" applyFont="1"/>
    <xf borderId="0" fillId="0" fontId="16" numFmtId="9" xfId="0" applyFont="1" applyNumberFormat="1"/>
    <xf borderId="0" fillId="0" fontId="1" numFmtId="0" xfId="0" applyAlignment="1" applyFont="1">
      <alignment horizontal="left"/>
    </xf>
    <xf borderId="0" fillId="0" fontId="1" numFmtId="9" xfId="0" applyAlignment="1" applyFont="1" applyNumberFormat="1">
      <alignment horizontal="left"/>
    </xf>
    <xf borderId="0" fillId="0" fontId="17" numFmtId="0" xfId="0" applyFont="1"/>
    <xf borderId="0" fillId="0" fontId="18" numFmtId="0" xfId="0" applyAlignment="1" applyFont="1">
      <alignment horizontal="left"/>
    </xf>
    <xf borderId="0" fillId="0" fontId="19" numFmtId="0" xfId="0" applyAlignment="1" applyFont="1">
      <alignment horizontal="center"/>
    </xf>
    <xf borderId="7" fillId="0" fontId="20" numFmtId="0" xfId="0" applyAlignment="1" applyBorder="1" applyFont="1">
      <alignment horizontal="center"/>
    </xf>
    <xf borderId="0" fillId="0" fontId="21" numFmtId="169" xfId="0" applyAlignment="1" applyFont="1" applyNumberFormat="1">
      <alignment horizontal="center"/>
    </xf>
    <xf borderId="7" fillId="0" fontId="21" numFmtId="169" xfId="0" applyAlignment="1" applyBorder="1" applyFont="1" applyNumberFormat="1">
      <alignment horizontal="center"/>
    </xf>
    <xf borderId="0" fillId="0" fontId="21" numFmtId="170" xfId="0" applyAlignment="1" applyFont="1" applyNumberFormat="1">
      <alignment horizontal="center"/>
    </xf>
    <xf borderId="0" fillId="0" fontId="1" numFmtId="169" xfId="0" applyAlignment="1" applyFont="1" applyNumberFormat="1">
      <alignment horizontal="center"/>
    </xf>
    <xf borderId="0" fillId="0" fontId="8" numFmtId="0" xfId="0" applyAlignment="1" applyFont="1">
      <alignment horizontal="left"/>
    </xf>
    <xf borderId="0" fillId="0" fontId="8" numFmtId="171" xfId="0" applyAlignment="1" applyFont="1" applyNumberFormat="1">
      <alignment horizontal="center"/>
    </xf>
    <xf borderId="7" fillId="0" fontId="8" numFmtId="171" xfId="0" applyAlignment="1" applyBorder="1" applyFont="1" applyNumberFormat="1">
      <alignment horizontal="center"/>
    </xf>
    <xf borderId="7" fillId="0" fontId="1" numFmtId="169" xfId="0" applyAlignment="1" applyBorder="1" applyFont="1" applyNumberFormat="1">
      <alignment horizontal="center"/>
    </xf>
    <xf borderId="0" fillId="0" fontId="21" numFmtId="172" xfId="0" applyAlignment="1" applyFont="1" applyNumberFormat="1">
      <alignment horizontal="center"/>
    </xf>
    <xf borderId="7" fillId="0" fontId="21" numFmtId="172" xfId="0" applyAlignment="1" applyBorder="1" applyFont="1" applyNumberFormat="1">
      <alignment horizontal="center"/>
    </xf>
    <xf borderId="0" fillId="0" fontId="21" numFmtId="10" xfId="0" applyAlignment="1" applyFont="1" applyNumberFormat="1">
      <alignment horizontal="center"/>
    </xf>
    <xf borderId="0" fillId="0" fontId="1" numFmtId="172" xfId="0" applyAlignment="1" applyFont="1" applyNumberFormat="1">
      <alignment horizontal="center"/>
    </xf>
    <xf borderId="7" fillId="0" fontId="1" numFmtId="172" xfId="0" applyAlignment="1" applyBorder="1" applyFont="1" applyNumberFormat="1">
      <alignment horizontal="center"/>
    </xf>
    <xf borderId="0" fillId="0" fontId="1" numFmtId="173" xfId="0" applyAlignment="1" applyFont="1" applyNumberFormat="1">
      <alignment horizontal="left"/>
    </xf>
    <xf borderId="0" fillId="0" fontId="1" numFmtId="173" xfId="0" applyFont="1" applyNumberFormat="1"/>
    <xf borderId="0" fillId="0" fontId="8" numFmtId="173" xfId="0" applyAlignment="1" applyFont="1" applyNumberFormat="1">
      <alignment horizontal="center"/>
    </xf>
    <xf borderId="0" fillId="0" fontId="8" numFmtId="10" xfId="0" applyFont="1" applyNumberFormat="1"/>
    <xf borderId="0" fillId="0" fontId="8" numFmtId="173" xfId="0" applyFont="1" applyNumberFormat="1"/>
    <xf borderId="7" fillId="0" fontId="8" numFmtId="173" xfId="0" applyAlignment="1" applyBorder="1" applyFont="1" applyNumberFormat="1">
      <alignment horizontal="center"/>
    </xf>
    <xf borderId="0" fillId="0" fontId="21" numFmtId="174" xfId="0" applyAlignment="1" applyFont="1" applyNumberFormat="1">
      <alignment horizontal="center"/>
    </xf>
    <xf borderId="0" fillId="0" fontId="1" numFmtId="173" xfId="0" applyAlignment="1" applyFont="1" applyNumberFormat="1">
      <alignment horizontal="center"/>
    </xf>
    <xf borderId="7" fillId="0" fontId="1" numFmtId="173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7" fillId="0" fontId="1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0" fillId="0" fontId="1" numFmtId="175" xfId="0" applyAlignment="1" applyFont="1" applyNumberFormat="1">
      <alignment horizontal="center"/>
    </xf>
    <xf borderId="7" fillId="0" fontId="1" numFmtId="175" xfId="0" applyAlignment="1" applyBorder="1" applyFont="1" applyNumberFormat="1">
      <alignment horizontal="center"/>
    </xf>
    <xf borderId="0" fillId="0" fontId="1" numFmtId="169" xfId="0" applyFont="1" applyNumberFormat="1"/>
    <xf borderId="0" fillId="0" fontId="21" numFmtId="176" xfId="0" applyAlignment="1" applyFont="1" applyNumberFormat="1">
      <alignment horizontal="center"/>
    </xf>
    <xf borderId="0" fillId="0" fontId="1" numFmtId="177" xfId="0" applyAlignment="1" applyFont="1" applyNumberFormat="1">
      <alignment horizontal="center"/>
    </xf>
    <xf borderId="7" fillId="0" fontId="1" numFmtId="177" xfId="0" applyAlignment="1" applyBorder="1" applyFont="1" applyNumberFormat="1">
      <alignment horizontal="center"/>
    </xf>
    <xf borderId="0" fillId="0" fontId="22" numFmtId="0" xfId="0" applyFont="1"/>
    <xf borderId="8" fillId="0" fontId="7" numFmtId="0" xfId="0" applyAlignment="1" applyBorder="1" applyFont="1">
      <alignment horizontal="left"/>
    </xf>
    <xf borderId="8" fillId="0" fontId="7" numFmtId="169" xfId="0" applyAlignment="1" applyBorder="1" applyFont="1" applyNumberFormat="1">
      <alignment horizontal="center"/>
    </xf>
    <xf borderId="9" fillId="0" fontId="7" numFmtId="169" xfId="0" applyAlignment="1" applyBorder="1" applyFont="1" applyNumberFormat="1">
      <alignment horizontal="center"/>
    </xf>
    <xf borderId="0" fillId="0" fontId="1" numFmtId="171" xfId="0" applyAlignment="1" applyFont="1" applyNumberFormat="1">
      <alignment horizontal="center"/>
    </xf>
    <xf borderId="7" fillId="0" fontId="1" numFmtId="171" xfId="0" applyAlignment="1" applyBorder="1" applyFont="1" applyNumberFormat="1">
      <alignment horizontal="center"/>
    </xf>
    <xf borderId="0" fillId="0" fontId="1" numFmtId="178" xfId="0" applyFont="1" applyNumberFormat="1"/>
    <xf borderId="0" fillId="0" fontId="1" numFmtId="179" xfId="0" applyFont="1" applyNumberFormat="1"/>
    <xf borderId="10" fillId="6" fontId="7" numFmtId="0" xfId="0" applyAlignment="1" applyBorder="1" applyFill="1" applyFont="1">
      <alignment horizontal="left"/>
    </xf>
    <xf borderId="11" fillId="6" fontId="7" numFmtId="169" xfId="0" applyAlignment="1" applyBorder="1" applyFont="1" applyNumberFormat="1">
      <alignment horizontal="center"/>
    </xf>
    <xf borderId="11" fillId="6" fontId="7" numFmtId="170" xfId="0" applyAlignment="1" applyBorder="1" applyFont="1" applyNumberFormat="1">
      <alignment horizontal="center"/>
    </xf>
    <xf borderId="12" fillId="6" fontId="7" numFmtId="170" xfId="0" applyAlignment="1" applyBorder="1" applyFont="1" applyNumberFormat="1">
      <alignment horizontal="center"/>
    </xf>
    <xf borderId="13" fillId="6" fontId="7" numFmtId="169" xfId="0" applyAlignment="1" applyBorder="1" applyFont="1" applyNumberFormat="1">
      <alignment horizontal="center"/>
    </xf>
    <xf borderId="14" fillId="6" fontId="7" numFmtId="0" xfId="0" applyAlignment="1" applyBorder="1" applyFont="1">
      <alignment horizontal="left"/>
    </xf>
    <xf borderId="15" fillId="6" fontId="7" numFmtId="177" xfId="0" applyAlignment="1" applyBorder="1" applyFont="1" applyNumberFormat="1">
      <alignment horizontal="center"/>
    </xf>
    <xf borderId="16" fillId="6" fontId="7" numFmtId="177" xfId="0" applyAlignment="1" applyBorder="1" applyFont="1" applyNumberFormat="1">
      <alignment horizontal="center"/>
    </xf>
    <xf borderId="17" fillId="6" fontId="7" numFmtId="177" xfId="0" applyAlignment="1" applyBorder="1" applyFont="1" applyNumberFormat="1">
      <alignment horizontal="center"/>
    </xf>
    <xf borderId="0" fillId="0" fontId="1" numFmtId="180" xfId="0" applyFont="1" applyNumberFormat="1"/>
    <xf borderId="8" fillId="0" fontId="1" numFmtId="0" xfId="0" applyAlignment="1" applyBorder="1" applyFont="1">
      <alignment horizontal="center"/>
    </xf>
    <xf borderId="1" fillId="2" fontId="23" numFmtId="0" xfId="0" applyAlignment="1" applyBorder="1" applyFont="1">
      <alignment horizontal="center"/>
    </xf>
    <xf borderId="0" fillId="0" fontId="24" numFmtId="0" xfId="0" applyAlignment="1" applyFont="1">
      <alignment horizontal="center"/>
    </xf>
    <xf borderId="0" fillId="0" fontId="25" numFmtId="177" xfId="0" applyFont="1" applyNumberFormat="1"/>
    <xf borderId="18" fillId="0" fontId="1" numFmtId="169" xfId="0" applyBorder="1" applyFont="1" applyNumberFormat="1"/>
    <xf borderId="19" fillId="0" fontId="7" numFmtId="0" xfId="0" applyAlignment="1" applyBorder="1" applyFont="1">
      <alignment horizontal="right" textRotation="90" vertical="center"/>
    </xf>
    <xf borderId="20" fillId="0" fontId="1" numFmtId="181" xfId="0" applyBorder="1" applyFont="1" applyNumberFormat="1"/>
    <xf borderId="0" fillId="0" fontId="1" numFmtId="175" xfId="0" applyFont="1" applyNumberFormat="1"/>
    <xf borderId="19" fillId="0" fontId="3" numFmtId="0" xfId="0" applyBorder="1" applyFont="1"/>
    <xf borderId="6" fillId="7" fontId="1" numFmtId="175" xfId="0" applyBorder="1" applyFill="1" applyFont="1" applyNumberFormat="1"/>
    <xf borderId="6" fillId="8" fontId="7" numFmtId="175" xfId="0" applyBorder="1" applyFill="1" applyFont="1" applyNumberFormat="1"/>
    <xf borderId="0" fillId="0" fontId="10" numFmtId="182" xfId="0" applyFont="1" applyNumberFormat="1"/>
    <xf borderId="18" fillId="0" fontId="1" numFmtId="176" xfId="0" applyBorder="1" applyFont="1" applyNumberFormat="1"/>
    <xf borderId="0" fillId="0" fontId="26" numFmtId="0" xfId="0" applyAlignment="1" applyFont="1">
      <alignment horizontal="center"/>
    </xf>
    <xf borderId="0" fillId="0" fontId="27" numFmtId="0" xfId="0" applyFont="1"/>
    <xf borderId="0" fillId="0" fontId="1" numFmtId="181" xfId="0" applyFont="1" applyNumberFormat="1"/>
    <xf borderId="0" fillId="0" fontId="1" numFmtId="182" xfId="0" applyAlignment="1" applyFont="1" applyNumberFormat="1">
      <alignment horizontal="right"/>
    </xf>
    <xf borderId="0" fillId="0" fontId="10" numFmtId="1" xfId="0" applyFont="1" applyNumberFormat="1"/>
    <xf borderId="0" fillId="0" fontId="1" numFmtId="164" xfId="0" applyAlignment="1" applyFont="1" applyNumberFormat="1">
      <alignment horizontal="right"/>
    </xf>
    <xf borderId="0" fillId="0" fontId="28" numFmtId="164" xfId="0" applyAlignment="1" applyFont="1" applyNumberFormat="1">
      <alignment horizontal="right"/>
    </xf>
    <xf borderId="0" fillId="0" fontId="29" numFmtId="0" xfId="0" applyFont="1"/>
    <xf borderId="0" fillId="0" fontId="30" numFmtId="183" xfId="0" applyFont="1" applyNumberFormat="1"/>
    <xf borderId="0" fillId="0" fontId="31" numFmtId="164" xfId="0" applyFont="1" applyNumberFormat="1"/>
    <xf borderId="0" fillId="0" fontId="10" numFmtId="164" xfId="0" applyFont="1" applyNumberFormat="1"/>
    <xf borderId="0" fillId="0" fontId="10" numFmtId="165" xfId="0" applyFont="1" applyNumberFormat="1"/>
    <xf borderId="0" fillId="0" fontId="1" numFmtId="9" xfId="0" applyAlignment="1" applyFont="1" applyNumberFormat="1">
      <alignment horizontal="right"/>
    </xf>
    <xf borderId="0" fillId="0" fontId="32" numFmtId="164" xfId="0" applyFont="1" applyNumberFormat="1"/>
    <xf borderId="0" fillId="0" fontId="1" numFmtId="164" xfId="0" applyAlignment="1" applyFont="1" applyNumberFormat="1">
      <alignment horizontal="left"/>
    </xf>
    <xf borderId="0" fillId="0" fontId="33" numFmtId="0" xfId="0" applyFont="1"/>
    <xf borderId="1" fillId="2" fontId="34" numFmtId="0" xfId="0" applyAlignment="1" applyBorder="1" applyFont="1">
      <alignment horizontal="center"/>
    </xf>
    <xf borderId="0" fillId="0" fontId="35" numFmtId="10" xfId="0" applyFont="1" applyNumberFormat="1"/>
    <xf borderId="0" fillId="0" fontId="36" numFmtId="0" xfId="0" applyFont="1"/>
    <xf borderId="0" fillId="0" fontId="35" numFmtId="184" xfId="0" applyFont="1" applyNumberFormat="1"/>
    <xf borderId="18" fillId="0" fontId="33" numFmtId="0" xfId="0" applyBorder="1" applyFont="1"/>
    <xf borderId="18" fillId="0" fontId="37" numFmtId="9" xfId="0" applyBorder="1" applyFont="1" applyNumberFormat="1"/>
    <xf borderId="0" fillId="0" fontId="38" numFmtId="0" xfId="0" applyFont="1"/>
    <xf borderId="0" fillId="0" fontId="33" numFmtId="184" xfId="0" applyFont="1" applyNumberFormat="1"/>
    <xf borderId="1" fillId="5" fontId="38" numFmtId="0" xfId="0" applyAlignment="1" applyBorder="1" applyFont="1">
      <alignment horizontal="center"/>
    </xf>
    <xf borderId="0" fillId="0" fontId="39" numFmtId="172" xfId="0" applyAlignment="1" applyFont="1" applyNumberFormat="1">
      <alignment horizontal="right"/>
    </xf>
    <xf borderId="8" fillId="0" fontId="38" numFmtId="0" xfId="0" applyBorder="1" applyFont="1"/>
    <xf borderId="8" fillId="0" fontId="40" numFmtId="172" xfId="0" applyBorder="1" applyFont="1" applyNumberFormat="1"/>
    <xf borderId="0" fillId="0" fontId="35" numFmtId="0" xfId="0" applyFont="1"/>
    <xf quotePrefix="1" borderId="0" fillId="0" fontId="35" numFmtId="0" xfId="0" applyFont="1"/>
    <xf borderId="18" fillId="0" fontId="37" numFmtId="185" xfId="0" applyBorder="1" applyFont="1" applyNumberFormat="1"/>
    <xf borderId="0" fillId="0" fontId="41" numFmtId="0" xfId="0" applyAlignment="1" applyFont="1">
      <alignment horizontal="center"/>
    </xf>
    <xf borderId="5" fillId="5" fontId="38" numFmtId="0" xfId="0" applyBorder="1" applyFont="1"/>
    <xf borderId="5" fillId="5" fontId="38" numFmtId="186" xfId="0" applyBorder="1" applyFont="1" applyNumberFormat="1"/>
    <xf borderId="0" fillId="0" fontId="25" numFmtId="9" xfId="0" applyFont="1" applyNumberFormat="1"/>
    <xf borderId="18" fillId="0" fontId="35" numFmtId="9" xfId="0" applyAlignment="1" applyBorder="1" applyFont="1" applyNumberFormat="1">
      <alignment horizontal="center"/>
    </xf>
    <xf borderId="19" fillId="0" fontId="7" numFmtId="0" xfId="0" applyAlignment="1" applyBorder="1" applyFont="1">
      <alignment horizontal="center" textRotation="90" vertical="center"/>
    </xf>
    <xf borderId="20" fillId="0" fontId="35" numFmtId="185" xfId="0" applyBorder="1" applyFont="1" applyNumberFormat="1"/>
    <xf borderId="0" fillId="0" fontId="33" numFmtId="172" xfId="0" applyAlignment="1" applyFont="1" applyNumberFormat="1">
      <alignment horizontal="center"/>
    </xf>
    <xf borderId="20" fillId="0" fontId="37" numFmtId="187" xfId="0" applyBorder="1" applyFont="1" applyNumberFormat="1"/>
    <xf borderId="11" fillId="7" fontId="33" numFmtId="172" xfId="0" applyAlignment="1" applyBorder="1" applyFont="1" applyNumberFormat="1">
      <alignment horizontal="center"/>
    </xf>
    <xf borderId="11" fillId="8" fontId="38" numFmtId="172" xfId="0" applyAlignment="1" applyBorder="1" applyFont="1" applyNumberFormat="1">
      <alignment horizontal="center"/>
    </xf>
    <xf borderId="18" fillId="0" fontId="37" numFmtId="187" xfId="0" applyBorder="1" applyFont="1" applyNumberFormat="1"/>
    <xf borderId="6" fillId="7" fontId="33" numFmtId="172" xfId="0" applyAlignment="1" applyBorder="1" applyFont="1" applyNumberFormat="1">
      <alignment horizontal="center"/>
    </xf>
    <xf borderId="20" fillId="0" fontId="35" numFmtId="187" xfId="0" applyBorder="1" applyFont="1" applyNumberFormat="1"/>
    <xf borderId="5" fillId="5" fontId="38" numFmtId="164" xfId="0" applyBorder="1" applyFont="1" applyNumberFormat="1"/>
    <xf borderId="20" fillId="0" fontId="37" numFmtId="185" xfId="0" applyBorder="1" applyFont="1" applyNumberFormat="1"/>
    <xf borderId="6" fillId="8" fontId="38" numFmtId="172" xfId="0" applyAlignment="1" applyBorder="1" applyFont="1" applyNumberFormat="1">
      <alignment horizontal="center"/>
    </xf>
    <xf borderId="18" fillId="0" fontId="37" numFmtId="188" xfId="0" applyBorder="1" applyFont="1" applyNumberFormat="1"/>
    <xf borderId="5" fillId="5" fontId="38" numFmtId="172" xfId="0" applyBorder="1" applyFont="1" applyNumberFormat="1"/>
    <xf borderId="0" fillId="0" fontId="42" numFmtId="0" xfId="0" applyFont="1"/>
    <xf borderId="10" fillId="6" fontId="33" numFmtId="0" xfId="0" applyBorder="1" applyFont="1"/>
    <xf borderId="13" fillId="6" fontId="33" numFmtId="189" xfId="0" applyBorder="1" applyFont="1" applyNumberFormat="1"/>
    <xf borderId="21" fillId="6" fontId="33" numFmtId="0" xfId="0" applyBorder="1" applyFont="1"/>
    <xf borderId="22" fillId="6" fontId="37" numFmtId="172" xfId="0" applyBorder="1" applyFont="1" applyNumberFormat="1"/>
    <xf borderId="0" fillId="0" fontId="25" numFmtId="165" xfId="0" applyFont="1" applyNumberFormat="1"/>
    <xf borderId="0" fillId="0" fontId="35" numFmtId="9" xfId="0" applyAlignment="1" applyFont="1" applyNumberFormat="1">
      <alignment horizontal="center"/>
    </xf>
    <xf borderId="22" fillId="6" fontId="33" numFmtId="189" xfId="0" applyBorder="1" applyFont="1" applyNumberFormat="1"/>
    <xf borderId="0" fillId="0" fontId="33" numFmtId="190" xfId="0" applyAlignment="1" applyFont="1" applyNumberFormat="1">
      <alignment horizontal="center"/>
    </xf>
    <xf borderId="6" fillId="7" fontId="33" numFmtId="190" xfId="0" applyAlignment="1" applyBorder="1" applyFont="1" applyNumberFormat="1">
      <alignment horizontal="center"/>
    </xf>
    <xf borderId="6" fillId="8" fontId="38" numFmtId="190" xfId="0" applyAlignment="1" applyBorder="1" applyFont="1" applyNumberFormat="1">
      <alignment horizontal="center"/>
    </xf>
    <xf borderId="0" fillId="0" fontId="7" numFmtId="0" xfId="0" applyAlignment="1" applyFont="1">
      <alignment horizontal="center" textRotation="90" vertical="center"/>
    </xf>
    <xf borderId="0" fillId="0" fontId="35" numFmtId="185" xfId="0" applyFont="1" applyNumberFormat="1"/>
    <xf borderId="0" fillId="0" fontId="37" numFmtId="187" xfId="0" applyFont="1" applyNumberFormat="1"/>
    <xf borderId="0" fillId="0" fontId="38" numFmtId="190" xfId="0" applyAlignment="1" applyFont="1" applyNumberFormat="1">
      <alignment horizontal="center"/>
    </xf>
    <xf borderId="14" fillId="6" fontId="38" numFmtId="0" xfId="0" applyBorder="1" applyFont="1"/>
    <xf borderId="17" fillId="6" fontId="38" numFmtId="172" xfId="0" applyBorder="1" applyFont="1" applyNumberFormat="1"/>
    <xf borderId="0" fillId="0" fontId="35" numFmtId="187" xfId="0" applyFont="1" applyNumberFormat="1"/>
    <xf borderId="0" fillId="0" fontId="37" numFmtId="185" xfId="0" applyFont="1" applyNumberFormat="1"/>
    <xf borderId="0" fillId="0" fontId="33" numFmtId="37" xfId="0" applyAlignment="1" applyFont="1" applyNumberFormat="1">
      <alignment horizontal="center"/>
    </xf>
    <xf borderId="6" fillId="7" fontId="33" numFmtId="37" xfId="0" applyAlignment="1" applyBorder="1" applyFont="1" applyNumberFormat="1">
      <alignment horizontal="center"/>
    </xf>
    <xf borderId="6" fillId="8" fontId="38" numFmtId="37" xfId="0" applyAlignment="1" applyBorder="1" applyFont="1" applyNumberFormat="1">
      <alignment horizontal="center"/>
    </xf>
    <xf borderId="0" fillId="0" fontId="38" numFmtId="37" xfId="0" applyAlignment="1" applyFont="1" applyNumberFormat="1">
      <alignment horizontal="center"/>
    </xf>
    <xf borderId="0" fillId="0" fontId="33" numFmtId="182" xfId="0" applyFont="1" applyNumberFormat="1"/>
    <xf borderId="0" fillId="0" fontId="33" numFmtId="1" xfId="0" applyFont="1" applyNumberFormat="1"/>
    <xf borderId="0" fillId="0" fontId="43" numFmtId="0" xfId="0" applyAlignment="1" applyFont="1">
      <alignment horizontal="center"/>
    </xf>
    <xf borderId="0" fillId="0" fontId="33" numFmtId="183" xfId="0" applyFont="1" applyNumberFormat="1"/>
    <xf borderId="0" fillId="0" fontId="44" numFmtId="164" xfId="0" applyFont="1" applyNumberFormat="1"/>
    <xf borderId="0" fillId="0" fontId="33" numFmtId="164" xfId="0" applyFont="1" applyNumberFormat="1"/>
    <xf borderId="0" fillId="0" fontId="3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externalLink" Target="externalLinks/externalLink3.xml"/><Relationship Id="rId9" Type="http://schemas.openxmlformats.org/officeDocument/2006/relationships/externalLink" Target="externalLinks/externalLink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nmdet/Box/2.%20Deals/1.%20Active%20Deals/Chezie/03.%20Diligence/Analysis/Chezie%20Exit%20Model_vCurrent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tobennaegbuna/Downloads/Example_Toby%20v1%20(1)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nmdet/Downloads/Thingtesting_Model_vMaster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Exit Scenario"/>
      <sheetName val="TAM Penetration Required"/>
      <sheetName val="HCP Revenue Build"/>
      <sheetName val="Market Sizing - Top"/>
      <sheetName val="Market Sizing - Bottom"/>
      <sheetName val="US &amp; states detailed sizes"/>
      <sheetName val="US large employment sizes"/>
      <sheetName val="Company Model --&gt;"/>
      <sheetName val="Assumptions"/>
      <sheetName val="Monthly Income Statement"/>
      <sheetName val="Revenue Detail"/>
      <sheetName val="Customer Acquisition Detail"/>
      <sheetName val="Cost Detail"/>
      <sheetName val="Payroll"/>
      <sheetName val="Historical Actu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ntrol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ver"/>
      <sheetName val="Summary &amp; Assumptions"/>
      <sheetName val="Model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40202"/>
      </a:accent1>
      <a:accent2>
        <a:srgbClr val="D9503D"/>
      </a:accent2>
      <a:accent3>
        <a:srgbClr val="5B5B5B"/>
      </a:accent3>
      <a:accent4>
        <a:srgbClr val="C2C2C2"/>
      </a:accent4>
      <a:accent5>
        <a:srgbClr val="C2C2C2"/>
      </a:accent5>
      <a:accent6>
        <a:srgbClr val="FFFFFF"/>
      </a:accent6>
      <a:hlink>
        <a:srgbClr val="D9503D"/>
      </a:hlink>
      <a:folHlink>
        <a:srgbClr val="D9503D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tatista.com/statistics/186269/total-active-physicians-in-the-us/" TargetMode="External"/><Relationship Id="rId2" Type="http://schemas.openxmlformats.org/officeDocument/2006/relationships/hyperlink" Target="https://www.ama-assn.org/system/files/2022-prp-practice-arrangement.pdf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86"/>
    <col customWidth="1" min="2" max="2" width="16.86"/>
    <col customWidth="1" min="3" max="3" width="16.29"/>
    <col customWidth="1" min="4" max="4" width="15.86"/>
    <col customWidth="1" min="5" max="5" width="11.71"/>
    <col customWidth="1" min="6" max="6" width="16.57"/>
    <col customWidth="1" min="7" max="26" width="10.86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2" t="s">
        <v>0</v>
      </c>
      <c r="C4" s="3"/>
      <c r="D4" s="3"/>
      <c r="E4" s="3"/>
      <c r="F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1"/>
      <c r="B6" s="5" t="s">
        <v>1</v>
      </c>
      <c r="C6" s="6"/>
      <c r="D6" s="6"/>
      <c r="E6" s="6"/>
      <c r="F6" s="6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0" hidden="1" customHeight="1">
      <c r="A7" s="1"/>
      <c r="B7" s="1" t="s">
        <v>2</v>
      </c>
      <c r="C7" s="7">
        <v>1109460.0</v>
      </c>
      <c r="D7" s="8" t="s">
        <v>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"/>
      <c r="B8" s="9" t="s">
        <v>4</v>
      </c>
      <c r="C8" s="10" t="s">
        <v>5</v>
      </c>
      <c r="D8" s="9" t="s">
        <v>6</v>
      </c>
      <c r="E8" s="9" t="s">
        <v>7</v>
      </c>
      <c r="F8" s="10" t="s">
        <v>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0" customHeight="1">
      <c r="A9" s="1"/>
      <c r="B9" s="1" t="s">
        <v>9</v>
      </c>
      <c r="C9" s="11">
        <f>0.328+0.19</f>
        <v>0.518</v>
      </c>
      <c r="D9" s="7">
        <f t="shared" ref="D9:D12" si="1">$C$7*C9</f>
        <v>574700.28</v>
      </c>
      <c r="E9" s="7">
        <f>D9/5</f>
        <v>114940.056</v>
      </c>
      <c r="F9" s="12">
        <v>20000.0</v>
      </c>
      <c r="G9" s="8" t="s">
        <v>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0" customHeight="1">
      <c r="A10" s="1"/>
      <c r="B10" s="1" t="s">
        <v>10</v>
      </c>
      <c r="C10" s="11">
        <f>0.121+0.077</f>
        <v>0.198</v>
      </c>
      <c r="D10" s="7">
        <f t="shared" si="1"/>
        <v>219673.08</v>
      </c>
      <c r="E10" s="7">
        <f>D10/30</f>
        <v>7322.436</v>
      </c>
      <c r="F10" s="12">
        <v>20000.0</v>
      </c>
      <c r="G10" s="8" t="s">
        <v>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0" customHeight="1">
      <c r="A11" s="1"/>
      <c r="B11" s="1" t="s">
        <v>11</v>
      </c>
      <c r="C11" s="11">
        <v>0.183</v>
      </c>
      <c r="D11" s="7">
        <f t="shared" si="1"/>
        <v>203031.18</v>
      </c>
      <c r="E11" s="7">
        <f>D11/70</f>
        <v>2900.445429</v>
      </c>
      <c r="F11" s="12">
        <v>20000.0</v>
      </c>
      <c r="G11" s="8" t="s">
        <v>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0" customHeight="1">
      <c r="A12" s="1"/>
      <c r="B12" s="1" t="s">
        <v>12</v>
      </c>
      <c r="C12" s="11">
        <v>0.1</v>
      </c>
      <c r="D12" s="7">
        <f t="shared" si="1"/>
        <v>110946</v>
      </c>
      <c r="E12" s="7">
        <v>6129.0</v>
      </c>
      <c r="F12" s="12">
        <v>20000.0</v>
      </c>
      <c r="G12" s="1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0" customHeight="1">
      <c r="A13" s="1"/>
      <c r="B13" s="13" t="s">
        <v>13</v>
      </c>
      <c r="C13" s="14"/>
      <c r="D13" s="14"/>
      <c r="E13" s="14"/>
      <c r="F13" s="14">
        <f>SUMPRODUCT(E9:E12,F9:F12)</f>
        <v>2625838749</v>
      </c>
      <c r="G13" s="1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0" customHeight="1">
      <c r="A15" s="1"/>
      <c r="B15" s="15" t="s">
        <v>14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0" customHeight="1">
      <c r="A16" s="1"/>
      <c r="B16" s="15" t="s">
        <v>15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0" customHeight="1">
      <c r="A18" s="1"/>
      <c r="B18" s="5" t="s">
        <v>16</v>
      </c>
      <c r="C18" s="6"/>
      <c r="D18" s="6"/>
      <c r="E18" s="6"/>
      <c r="F18" s="6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1"/>
      <c r="B19" s="9" t="s">
        <v>17</v>
      </c>
      <c r="C19" s="10"/>
      <c r="D19" s="9"/>
      <c r="E19" s="9"/>
      <c r="F19" s="10" t="s">
        <v>18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1"/>
      <c r="B20" s="1" t="s">
        <v>19</v>
      </c>
      <c r="C20" s="1"/>
      <c r="D20" s="1"/>
      <c r="E20" s="1"/>
      <c r="F20" s="12">
        <v>5000.0</v>
      </c>
      <c r="G20" s="15" t="s">
        <v>20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1"/>
      <c r="B21" s="1" t="s">
        <v>21</v>
      </c>
      <c r="C21" s="1"/>
      <c r="D21" s="1"/>
      <c r="E21" s="1"/>
      <c r="F21" s="12">
        <v>10000.0</v>
      </c>
      <c r="G21" s="15" t="s">
        <v>20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A22" s="1"/>
      <c r="B22" s="1" t="s">
        <v>22</v>
      </c>
      <c r="C22" s="1"/>
      <c r="D22" s="1"/>
      <c r="E22" s="1"/>
      <c r="F22" s="12">
        <v>10000.0</v>
      </c>
      <c r="G22" s="15" t="s">
        <v>20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1"/>
      <c r="B23" s="13" t="s">
        <v>23</v>
      </c>
      <c r="C23" s="14"/>
      <c r="D23" s="14"/>
      <c r="E23" s="14"/>
      <c r="F23" s="14">
        <f>SUM(F20:F22)*SUM(E9:E12)</f>
        <v>3282298436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1"/>
      <c r="B25" s="13" t="s">
        <v>24</v>
      </c>
      <c r="C25" s="14"/>
      <c r="D25" s="14"/>
      <c r="E25" s="14"/>
      <c r="F25" s="14">
        <f>F13+F23</f>
        <v>5908137184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1"/>
      <c r="B26" s="1" t="s">
        <v>25</v>
      </c>
      <c r="C26" s="16"/>
      <c r="D26" s="16"/>
      <c r="E26" s="16"/>
      <c r="F26" s="16">
        <v>0.02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1"/>
      <c r="B27" s="17" t="s">
        <v>26</v>
      </c>
      <c r="C27" s="18"/>
      <c r="D27" s="18"/>
      <c r="E27" s="18"/>
      <c r="F27" s="18">
        <f>F25*F26</f>
        <v>118162743.7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1"/>
      <c r="B28" s="1"/>
      <c r="C28" s="7"/>
      <c r="D28" s="8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1"/>
      <c r="B29" s="9"/>
      <c r="C29" s="10"/>
      <c r="D29" s="9"/>
      <c r="E29" s="9"/>
      <c r="F29" s="10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1"/>
      <c r="B30" s="1"/>
      <c r="C30" s="7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1"/>
      <c r="B31" s="1"/>
      <c r="C31" s="7"/>
      <c r="D31" s="8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1"/>
      <c r="B32" s="9"/>
      <c r="C32" s="19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1"/>
      <c r="B33" s="1"/>
      <c r="C33" s="20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1"/>
      <c r="B34" s="1"/>
      <c r="C34" s="1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hidden="1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hidden="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hidden="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hidden="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hidden="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hidden="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hidden="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hidden="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hidden="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hidden="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4:F4"/>
  </mergeCells>
  <hyperlinks>
    <hyperlink r:id="rId1" location=":~:text=As%20of%20May%202024%2C%20the,physicians%2C%20followed%20by%20New%20York." ref="D7"/>
    <hyperlink r:id="rId2" ref="G9"/>
  </hyperlinks>
  <printOptions/>
  <pageMargins bottom="0.75" footer="0.0" header="0.0" left="0.7" right="0.7" top="0.75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38.29"/>
    <col customWidth="1" min="3" max="4" width="13.71"/>
    <col customWidth="1" min="5" max="26" width="11.43"/>
  </cols>
  <sheetData>
    <row r="1" ht="14.25" customHeight="1"/>
    <row r="2" ht="14.25" customHeight="1">
      <c r="B2" s="21" t="s">
        <v>27</v>
      </c>
      <c r="C2" s="22"/>
      <c r="D2" s="22"/>
      <c r="E2" s="22"/>
      <c r="F2" s="22"/>
      <c r="G2" s="22"/>
      <c r="H2" s="22"/>
      <c r="I2" s="22"/>
      <c r="J2" s="22"/>
      <c r="K2" s="22"/>
      <c r="L2" s="22"/>
    </row>
    <row r="3" ht="14.25" customHeight="1">
      <c r="B3" s="22" t="s">
        <v>28</v>
      </c>
      <c r="C3" s="23">
        <f>SUM(TAM!E9:E12)</f>
        <v>131291.9374</v>
      </c>
      <c r="D3" s="24" t="s">
        <v>24</v>
      </c>
      <c r="E3" s="22"/>
      <c r="F3" s="22"/>
      <c r="G3" s="22"/>
      <c r="H3" s="22"/>
      <c r="I3" s="22"/>
      <c r="J3" s="22"/>
      <c r="K3" s="22"/>
      <c r="L3" s="22"/>
    </row>
    <row r="4" ht="14.25" customHeight="1">
      <c r="B4" s="22" t="s">
        <v>29</v>
      </c>
      <c r="C4" s="25">
        <v>20000.0</v>
      </c>
      <c r="D4" s="24" t="s">
        <v>30</v>
      </c>
      <c r="E4" s="22"/>
      <c r="F4" s="22"/>
      <c r="G4" s="22"/>
      <c r="H4" s="22"/>
      <c r="I4" s="22"/>
      <c r="J4" s="22"/>
      <c r="K4" s="22"/>
      <c r="L4" s="22"/>
    </row>
    <row r="5" ht="14.25" customHeight="1"/>
    <row r="6" ht="14.25" customHeight="1">
      <c r="B6" s="26" t="s">
        <v>31</v>
      </c>
      <c r="C6" s="27" t="s">
        <v>32</v>
      </c>
      <c r="D6" s="27" t="s">
        <v>33</v>
      </c>
      <c r="E6" s="27" t="s">
        <v>34</v>
      </c>
      <c r="F6" s="27" t="s">
        <v>35</v>
      </c>
      <c r="G6" s="27" t="s">
        <v>36</v>
      </c>
      <c r="H6" s="27" t="s">
        <v>37</v>
      </c>
      <c r="I6" s="27" t="s">
        <v>38</v>
      </c>
      <c r="J6" s="27" t="s">
        <v>39</v>
      </c>
      <c r="K6" s="27" t="s">
        <v>40</v>
      </c>
      <c r="L6" s="22"/>
    </row>
    <row r="7" ht="14.25" customHeight="1">
      <c r="B7" s="22" t="s">
        <v>41</v>
      </c>
      <c r="C7" s="28">
        <v>30.0</v>
      </c>
      <c r="D7" s="28">
        <v>40.0</v>
      </c>
      <c r="E7" s="28">
        <v>50.0</v>
      </c>
      <c r="F7" s="28">
        <v>65.0</v>
      </c>
      <c r="G7" s="28">
        <v>80.0</v>
      </c>
      <c r="H7" s="28">
        <v>95.0</v>
      </c>
      <c r="I7" s="28">
        <v>110.0</v>
      </c>
      <c r="J7" s="28">
        <v>130.0</v>
      </c>
      <c r="K7" s="28">
        <v>150.0</v>
      </c>
      <c r="L7" s="22"/>
    </row>
    <row r="8" ht="14.25" customHeight="1">
      <c r="B8" s="29" t="s">
        <v>42</v>
      </c>
      <c r="C8" s="30">
        <f t="shared" ref="C8:K8" si="1">(C7)/$C$3</f>
        <v>0.000228498418</v>
      </c>
      <c r="D8" s="30">
        <f t="shared" si="1"/>
        <v>0.0003046645573</v>
      </c>
      <c r="E8" s="30">
        <f t="shared" si="1"/>
        <v>0.0003808306967</v>
      </c>
      <c r="F8" s="30">
        <f t="shared" si="1"/>
        <v>0.0004950799057</v>
      </c>
      <c r="G8" s="30">
        <f t="shared" si="1"/>
        <v>0.0006093291147</v>
      </c>
      <c r="H8" s="30">
        <f t="shared" si="1"/>
        <v>0.0007235783237</v>
      </c>
      <c r="I8" s="30">
        <f t="shared" si="1"/>
        <v>0.0008378275327</v>
      </c>
      <c r="J8" s="30">
        <f t="shared" si="1"/>
        <v>0.0009901598114</v>
      </c>
      <c r="K8" s="30">
        <f t="shared" si="1"/>
        <v>0.00114249209</v>
      </c>
      <c r="L8" s="22"/>
    </row>
    <row r="9" ht="14.25" customHeight="1">
      <c r="B9" s="31" t="s">
        <v>8</v>
      </c>
      <c r="C9" s="32">
        <v>18000.0</v>
      </c>
      <c r="D9" s="32">
        <v>18000.0</v>
      </c>
      <c r="E9" s="32">
        <v>18500.0</v>
      </c>
      <c r="F9" s="32">
        <v>18500.0</v>
      </c>
      <c r="G9" s="32">
        <v>19000.0</v>
      </c>
      <c r="H9" s="32">
        <v>19000.0</v>
      </c>
      <c r="I9" s="32">
        <f t="shared" ref="I9:K9" si="2">$C$4</f>
        <v>20000</v>
      </c>
      <c r="J9" s="32">
        <f t="shared" si="2"/>
        <v>20000</v>
      </c>
      <c r="K9" s="32">
        <f t="shared" si="2"/>
        <v>20000</v>
      </c>
      <c r="L9" s="22"/>
    </row>
    <row r="10" ht="14.25" customHeight="1">
      <c r="B10" s="33" t="s">
        <v>43</v>
      </c>
      <c r="C10" s="34">
        <f t="shared" ref="C10:K10" si="3">C7*C9</f>
        <v>540000</v>
      </c>
      <c r="D10" s="34">
        <f t="shared" si="3"/>
        <v>720000</v>
      </c>
      <c r="E10" s="34">
        <f t="shared" si="3"/>
        <v>925000</v>
      </c>
      <c r="F10" s="34">
        <f t="shared" si="3"/>
        <v>1202500</v>
      </c>
      <c r="G10" s="34">
        <f t="shared" si="3"/>
        <v>1520000</v>
      </c>
      <c r="H10" s="34">
        <f t="shared" si="3"/>
        <v>1805000</v>
      </c>
      <c r="I10" s="34">
        <f t="shared" si="3"/>
        <v>2200000</v>
      </c>
      <c r="J10" s="34">
        <f t="shared" si="3"/>
        <v>2600000</v>
      </c>
      <c r="K10" s="34">
        <f t="shared" si="3"/>
        <v>3000000</v>
      </c>
      <c r="L10" s="21"/>
    </row>
    <row r="11" ht="14.25" customHeight="1">
      <c r="B11" s="35" t="s">
        <v>44</v>
      </c>
      <c r="C11" s="35"/>
      <c r="D11" s="36">
        <f t="shared" ref="D11:K11" si="4">(D10-C10)/C10</f>
        <v>0.3333333333</v>
      </c>
      <c r="E11" s="36">
        <f t="shared" si="4"/>
        <v>0.2847222222</v>
      </c>
      <c r="F11" s="36">
        <f t="shared" si="4"/>
        <v>0.3</v>
      </c>
      <c r="G11" s="36">
        <f t="shared" si="4"/>
        <v>0.264033264</v>
      </c>
      <c r="H11" s="36">
        <f t="shared" si="4"/>
        <v>0.1875</v>
      </c>
      <c r="I11" s="36">
        <f t="shared" si="4"/>
        <v>0.2188365651</v>
      </c>
      <c r="J11" s="36">
        <f t="shared" si="4"/>
        <v>0.1818181818</v>
      </c>
      <c r="K11" s="36">
        <f t="shared" si="4"/>
        <v>0.1538461538</v>
      </c>
      <c r="L11" s="22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1.71"/>
    <col customWidth="1" min="2" max="2" width="29.29"/>
    <col customWidth="1" min="3" max="7" width="11.57"/>
    <col customWidth="1" min="8" max="8" width="5.43"/>
    <col customWidth="1" min="9" max="9" width="6.86"/>
    <col customWidth="1" min="10" max="10" width="6.71"/>
    <col customWidth="1" min="11" max="15" width="11.86"/>
    <col customWidth="1" min="16" max="18" width="8.29"/>
    <col customWidth="1" min="19" max="19" width="31.14"/>
    <col customWidth="1" min="20" max="20" width="16.29"/>
    <col customWidth="1" min="21" max="21" width="6.29"/>
    <col customWidth="1" min="22" max="22" width="5.71"/>
    <col customWidth="1" min="23" max="23" width="1.71"/>
    <col customWidth="1" min="24" max="24" width="8.29"/>
    <col customWidth="1" min="25" max="25" width="3.0"/>
    <col customWidth="1" min="26" max="27" width="8.29"/>
  </cols>
  <sheetData>
    <row r="1" ht="12.75" customHeight="1">
      <c r="A1" s="1"/>
      <c r="B1" s="1"/>
      <c r="C1" s="3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2.75" customHeight="1">
      <c r="A2" s="1"/>
      <c r="B2" s="1"/>
      <c r="C2" s="3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4.5" customHeight="1">
      <c r="A3" s="1"/>
      <c r="B3" s="39"/>
      <c r="C3" s="37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2.75" customHeight="1">
      <c r="A4" s="1"/>
      <c r="B4" s="40" t="s">
        <v>45</v>
      </c>
      <c r="C4" s="41" t="s">
        <v>46</v>
      </c>
      <c r="D4" s="41" t="s">
        <v>47</v>
      </c>
      <c r="E4" s="41" t="s">
        <v>48</v>
      </c>
      <c r="F4" s="42" t="s">
        <v>49</v>
      </c>
      <c r="G4" s="41" t="s">
        <v>50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2.75" customHeight="1">
      <c r="A5" s="1"/>
      <c r="B5" s="37" t="s">
        <v>51</v>
      </c>
      <c r="C5" s="43">
        <v>25.0</v>
      </c>
      <c r="D5" s="43">
        <v>50.0</v>
      </c>
      <c r="E5" s="43">
        <v>100.0</v>
      </c>
      <c r="F5" s="44">
        <v>250.0</v>
      </c>
      <c r="G5" s="45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2.75" customHeight="1">
      <c r="A6" s="1"/>
      <c r="B6" s="37" t="s">
        <v>52</v>
      </c>
      <c r="C6" s="43">
        <v>4.0</v>
      </c>
      <c r="D6" s="43">
        <v>10.0</v>
      </c>
      <c r="E6" s="43">
        <v>15.0</v>
      </c>
      <c r="F6" s="44">
        <v>25.0</v>
      </c>
      <c r="G6" s="46">
        <f>SUM(C6:F6)</f>
        <v>54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2.75" customHeight="1">
      <c r="A7" s="15"/>
      <c r="B7" s="47" t="s">
        <v>53</v>
      </c>
      <c r="C7" s="48">
        <f t="shared" ref="C7:F7" si="1">C6/C5</f>
        <v>0.16</v>
      </c>
      <c r="D7" s="48">
        <f t="shared" si="1"/>
        <v>0.2</v>
      </c>
      <c r="E7" s="48">
        <f t="shared" si="1"/>
        <v>0.15</v>
      </c>
      <c r="F7" s="49">
        <f t="shared" si="1"/>
        <v>0.1</v>
      </c>
      <c r="G7" s="46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ht="12.75" customHeight="1">
      <c r="A8" s="1"/>
      <c r="B8" s="37" t="s">
        <v>54</v>
      </c>
      <c r="C8" s="45">
        <v>2.5</v>
      </c>
      <c r="D8" s="45">
        <f>C10*D6</f>
        <v>1</v>
      </c>
      <c r="E8" s="46">
        <v>0.0</v>
      </c>
      <c r="F8" s="50">
        <v>0.0</v>
      </c>
      <c r="G8" s="46">
        <f>SUM(C8:F8)</f>
        <v>3.5</v>
      </c>
      <c r="H8" s="1"/>
      <c r="I8" s="1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2.75" customHeight="1">
      <c r="A9" s="1"/>
      <c r="B9" s="37" t="s">
        <v>55</v>
      </c>
      <c r="C9" s="51">
        <v>0.07</v>
      </c>
      <c r="D9" s="51">
        <v>0.07</v>
      </c>
      <c r="E9" s="51">
        <v>0.0</v>
      </c>
      <c r="F9" s="52">
        <v>0.0</v>
      </c>
      <c r="G9" s="5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4.25" customHeight="1">
      <c r="A10" s="1"/>
      <c r="B10" s="37" t="s">
        <v>56</v>
      </c>
      <c r="C10" s="54">
        <f t="shared" ref="C10:F10" si="2">C8/C5</f>
        <v>0.1</v>
      </c>
      <c r="D10" s="54">
        <f t="shared" si="2"/>
        <v>0.02</v>
      </c>
      <c r="E10" s="54">
        <f t="shared" si="2"/>
        <v>0</v>
      </c>
      <c r="F10" s="55">
        <f t="shared" si="2"/>
        <v>0</v>
      </c>
      <c r="G10" s="54"/>
      <c r="H10" s="54"/>
      <c r="I10" s="54"/>
      <c r="J10" s="56"/>
      <c r="K10" s="56"/>
      <c r="L10" s="16"/>
      <c r="M10" s="16"/>
      <c r="N10" s="57"/>
      <c r="O10" s="57"/>
      <c r="P10" s="57"/>
      <c r="Q10" s="1"/>
      <c r="R10" s="1"/>
      <c r="S10" s="1"/>
      <c r="T10" s="1"/>
      <c r="U10" s="16"/>
      <c r="V10" s="57"/>
      <c r="W10" s="57"/>
      <c r="X10" s="57"/>
      <c r="Y10" s="1"/>
      <c r="Z10" s="1"/>
      <c r="AA10" s="1"/>
    </row>
    <row r="11" ht="12.75" customHeight="1">
      <c r="A11" s="15"/>
      <c r="B11" s="47" t="s">
        <v>57</v>
      </c>
      <c r="C11" s="58"/>
      <c r="D11" s="48">
        <f>D10+C10*(1-D7-D9)</f>
        <v>0.093</v>
      </c>
      <c r="E11" s="48">
        <f t="shared" ref="E11:F11" si="3">E10+D11*(1-E7-E9)</f>
        <v>0.07905</v>
      </c>
      <c r="F11" s="49">
        <f t="shared" si="3"/>
        <v>0.071145</v>
      </c>
      <c r="G11" s="58"/>
      <c r="H11" s="59"/>
      <c r="I11" s="59"/>
      <c r="J11" s="60"/>
      <c r="K11" s="60"/>
      <c r="L11" s="60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ht="12.75" customHeight="1">
      <c r="A12" s="15"/>
      <c r="B12" s="47"/>
      <c r="C12" s="58"/>
      <c r="D12" s="58"/>
      <c r="E12" s="58"/>
      <c r="F12" s="61"/>
      <c r="G12" s="58"/>
      <c r="H12" s="59"/>
      <c r="I12" s="59"/>
      <c r="J12" s="60"/>
      <c r="K12" s="60"/>
      <c r="L12" s="60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ht="12.75" customHeight="1">
      <c r="A13" s="1"/>
      <c r="B13" s="37"/>
      <c r="C13" s="62"/>
      <c r="D13" s="63"/>
      <c r="E13" s="63"/>
      <c r="F13" s="64"/>
      <c r="G13" s="63"/>
      <c r="H13" s="16"/>
      <c r="I13" s="16"/>
      <c r="J13" s="57"/>
      <c r="K13" s="57"/>
      <c r="L13" s="57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2.75" hidden="1" customHeight="1" outlineLevel="1">
      <c r="A14" s="1"/>
      <c r="B14" s="37"/>
      <c r="C14" s="65"/>
      <c r="D14" s="65"/>
      <c r="E14" s="65"/>
      <c r="F14" s="66"/>
      <c r="G14" s="6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2.75" customHeight="1" collapsed="1">
      <c r="A15" s="1"/>
      <c r="B15" s="40" t="s">
        <v>58</v>
      </c>
      <c r="C15" s="41" t="str">
        <f t="shared" ref="C15:G15" si="4">C4</f>
        <v>Seed</v>
      </c>
      <c r="D15" s="41" t="str">
        <f t="shared" si="4"/>
        <v>Series A</v>
      </c>
      <c r="E15" s="41" t="str">
        <f t="shared" si="4"/>
        <v>Series B</v>
      </c>
      <c r="F15" s="42" t="str">
        <f t="shared" si="4"/>
        <v>Series C</v>
      </c>
      <c r="G15" s="41" t="str">
        <f t="shared" si="4"/>
        <v>Total</v>
      </c>
      <c r="H15" s="1"/>
      <c r="I15" s="1"/>
      <c r="J15" s="67"/>
      <c r="K15" s="67"/>
      <c r="L15" s="67"/>
      <c r="M15" s="67"/>
      <c r="N15" s="67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2.75" customHeight="1">
      <c r="A16" s="1"/>
      <c r="B16" s="37" t="s">
        <v>59</v>
      </c>
      <c r="C16" s="45"/>
      <c r="D16" s="68"/>
      <c r="E16" s="68"/>
      <c r="F16" s="69"/>
      <c r="G16" s="43">
        <v>269.1</v>
      </c>
      <c r="H16" s="1"/>
      <c r="I16" s="1"/>
      <c r="J16" s="70"/>
      <c r="K16" s="70"/>
      <c r="L16" s="70"/>
      <c r="M16" s="70"/>
      <c r="N16" s="70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2.75" customHeight="1">
      <c r="A17" s="1"/>
      <c r="B17" s="37" t="s">
        <v>60</v>
      </c>
      <c r="C17" s="71"/>
      <c r="D17" s="72"/>
      <c r="E17" s="72"/>
      <c r="F17" s="73"/>
      <c r="G17" s="71">
        <v>7.0</v>
      </c>
      <c r="H17" s="7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2.75" customHeight="1">
      <c r="A18" s="1"/>
      <c r="B18" s="75" t="s">
        <v>61</v>
      </c>
      <c r="C18" s="76">
        <f t="shared" ref="C18:F18" si="5">D18</f>
        <v>1883.7</v>
      </c>
      <c r="D18" s="76">
        <f t="shared" si="5"/>
        <v>1883.7</v>
      </c>
      <c r="E18" s="76">
        <f t="shared" si="5"/>
        <v>1883.7</v>
      </c>
      <c r="F18" s="77">
        <f t="shared" si="5"/>
        <v>1883.7</v>
      </c>
      <c r="G18" s="76">
        <f>G17*G16</f>
        <v>1883.7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2.75" customHeight="1">
      <c r="A19" s="1"/>
      <c r="B19" s="37" t="s">
        <v>62</v>
      </c>
      <c r="C19" s="78">
        <f>C10*(1-$D$7-$D$9)*(1-$E$7-$E$9)*(1-$F$7-$F$9)</f>
        <v>0.055845</v>
      </c>
      <c r="D19" s="78">
        <f>D10*(1-$E$7-$E$9)*(1-$F$7-$F$9)</f>
        <v>0.0153</v>
      </c>
      <c r="E19" s="78">
        <f>E10*(1-$F$7-$F$9)</f>
        <v>0</v>
      </c>
      <c r="F19" s="79">
        <f>F10*85%*90%</f>
        <v>0</v>
      </c>
      <c r="G19" s="78">
        <f>SUM(C19:F19)</f>
        <v>0.071145</v>
      </c>
      <c r="H19" s="80"/>
      <c r="I19" s="8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2.75" customHeight="1">
      <c r="A20" s="1"/>
      <c r="B20" s="82" t="s">
        <v>63</v>
      </c>
      <c r="C20" s="83">
        <f t="shared" ref="C20:F20" si="6">C18*C19</f>
        <v>105.1952265</v>
      </c>
      <c r="D20" s="84">
        <f t="shared" si="6"/>
        <v>28.82061</v>
      </c>
      <c r="E20" s="84">
        <f t="shared" si="6"/>
        <v>0</v>
      </c>
      <c r="F20" s="85">
        <f t="shared" si="6"/>
        <v>0</v>
      </c>
      <c r="G20" s="86">
        <f>G19*G18</f>
        <v>134.0158365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2.75" customHeight="1">
      <c r="A21" s="1"/>
      <c r="B21" s="87" t="s">
        <v>64</v>
      </c>
      <c r="C21" s="88">
        <f t="shared" ref="C21:F21" si="7">IFERROR(C20/C8,"-")</f>
        <v>42.0780906</v>
      </c>
      <c r="D21" s="88">
        <f t="shared" si="7"/>
        <v>28.82061</v>
      </c>
      <c r="E21" s="88" t="str">
        <f t="shared" si="7"/>
        <v>-</v>
      </c>
      <c r="F21" s="89" t="str">
        <f t="shared" si="7"/>
        <v>-</v>
      </c>
      <c r="G21" s="90">
        <f>G20/G8</f>
        <v>38.290239</v>
      </c>
      <c r="H21" s="1"/>
      <c r="I21" s="1"/>
      <c r="J21" s="1"/>
      <c r="K21" s="91"/>
      <c r="L21" s="91"/>
      <c r="M21" s="1"/>
      <c r="N21" s="91"/>
      <c r="O21" s="9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0" customHeight="1">
      <c r="A22" s="1"/>
      <c r="B22" s="47"/>
      <c r="C22" s="65"/>
      <c r="D22" s="65"/>
      <c r="E22" s="65"/>
      <c r="F22" s="65"/>
      <c r="G22" s="92"/>
      <c r="H22" s="1"/>
      <c r="I22" s="1"/>
      <c r="J22" s="1"/>
      <c r="K22" s="93" t="s">
        <v>63</v>
      </c>
      <c r="L22" s="3"/>
      <c r="M22" s="3"/>
      <c r="N22" s="3"/>
      <c r="O22" s="4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2.75" customHeight="1">
      <c r="A23" s="1"/>
      <c r="B23" s="47" t="s">
        <v>65</v>
      </c>
      <c r="C23" s="48">
        <f t="shared" ref="C23:F23" si="8">IFERROR(1-C19/C10,"-")</f>
        <v>0.44155</v>
      </c>
      <c r="D23" s="48">
        <f t="shared" si="8"/>
        <v>0.235</v>
      </c>
      <c r="E23" s="48" t="str">
        <f t="shared" si="8"/>
        <v>-</v>
      </c>
      <c r="F23" s="48" t="str">
        <f t="shared" si="8"/>
        <v>-</v>
      </c>
      <c r="G23" s="48">
        <f>1-G19/SUM(C10:F10)</f>
        <v>0.407125</v>
      </c>
      <c r="H23" s="1"/>
      <c r="I23" s="1"/>
      <c r="J23" s="1"/>
      <c r="K23" s="94" t="s">
        <v>66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4.25" customHeight="1">
      <c r="A24" s="1"/>
      <c r="B24" s="37"/>
      <c r="C24" s="37"/>
      <c r="D24" s="37"/>
      <c r="E24" s="37"/>
      <c r="F24" s="37"/>
      <c r="G24" s="37"/>
      <c r="H24" s="1"/>
      <c r="I24" s="1"/>
      <c r="J24" s="95">
        <f>$G$20</f>
        <v>134.0158365</v>
      </c>
      <c r="K24" s="96">
        <v>1600.0</v>
      </c>
      <c r="L24" s="96">
        <v>1700.0</v>
      </c>
      <c r="M24" s="96">
        <v>1883.7</v>
      </c>
      <c r="N24" s="96">
        <v>2000.0</v>
      </c>
      <c r="O24" s="96">
        <v>2100.0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6.5" customHeight="1">
      <c r="A25" s="1"/>
      <c r="B25" s="22"/>
      <c r="C25" s="22"/>
      <c r="D25" s="1"/>
      <c r="E25" s="1"/>
      <c r="F25" s="1"/>
      <c r="G25" s="1"/>
      <c r="H25" s="1"/>
      <c r="I25" s="97" t="s">
        <v>67</v>
      </c>
      <c r="J25" s="98">
        <v>2.0</v>
      </c>
      <c r="K25" s="99">
        <v>91.0656</v>
      </c>
      <c r="L25" s="99">
        <v>96.7572</v>
      </c>
      <c r="M25" s="99">
        <v>107.21266920000001</v>
      </c>
      <c r="N25" s="99">
        <v>113.83200000000001</v>
      </c>
      <c r="O25" s="99">
        <v>119.5236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6.5" customHeight="1">
      <c r="A26" s="1"/>
      <c r="B26" s="1"/>
      <c r="C26" s="22"/>
      <c r="D26" s="1"/>
      <c r="E26" s="1"/>
      <c r="F26" s="1"/>
      <c r="G26" s="1"/>
      <c r="H26" s="1"/>
      <c r="I26" s="100"/>
      <c r="J26" s="98">
        <v>2.2</v>
      </c>
      <c r="K26" s="99">
        <v>100.17216</v>
      </c>
      <c r="L26" s="101">
        <v>106.43292</v>
      </c>
      <c r="M26" s="101">
        <v>117.93393612</v>
      </c>
      <c r="N26" s="101">
        <v>125.2152</v>
      </c>
      <c r="O26" s="99">
        <v>131.47596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6.5" customHeight="1">
      <c r="A27" s="1"/>
      <c r="B27" s="1"/>
      <c r="C27" s="22"/>
      <c r="D27" s="1"/>
      <c r="E27" s="1"/>
      <c r="F27" s="1"/>
      <c r="G27" s="1"/>
      <c r="H27" s="1"/>
      <c r="I27" s="100"/>
      <c r="J27" s="98">
        <v>2.5</v>
      </c>
      <c r="K27" s="99">
        <v>113.832</v>
      </c>
      <c r="L27" s="101">
        <v>120.9465</v>
      </c>
      <c r="M27" s="102">
        <v>134.0158365</v>
      </c>
      <c r="N27" s="101">
        <v>142.29</v>
      </c>
      <c r="O27" s="99">
        <v>149.4045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6.5" customHeight="1">
      <c r="A28" s="1"/>
      <c r="B28" s="22"/>
      <c r="C28" s="22"/>
      <c r="D28" s="1"/>
      <c r="E28" s="1"/>
      <c r="F28" s="1"/>
      <c r="G28" s="1"/>
      <c r="H28" s="1"/>
      <c r="I28" s="100"/>
      <c r="J28" s="98">
        <v>2.6</v>
      </c>
      <c r="K28" s="99">
        <v>118.38528000000001</v>
      </c>
      <c r="L28" s="101">
        <v>125.78436000000002</v>
      </c>
      <c r="M28" s="101">
        <v>139.37646996</v>
      </c>
      <c r="N28" s="101">
        <v>147.98160000000001</v>
      </c>
      <c r="O28" s="99">
        <v>155.38068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6.5" customHeight="1">
      <c r="A29" s="1"/>
      <c r="B29" s="22"/>
      <c r="C29" s="22"/>
      <c r="D29" s="1"/>
      <c r="E29" s="1"/>
      <c r="F29" s="1"/>
      <c r="G29" s="1"/>
      <c r="H29" s="1"/>
      <c r="I29" s="100"/>
      <c r="J29" s="98">
        <v>2.7</v>
      </c>
      <c r="K29" s="99">
        <v>122.93856000000001</v>
      </c>
      <c r="L29" s="99">
        <v>130.62222</v>
      </c>
      <c r="M29" s="99">
        <v>144.73710342</v>
      </c>
      <c r="N29" s="99">
        <v>153.6732</v>
      </c>
      <c r="O29" s="99">
        <v>161.35686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2.75" customHeight="1">
      <c r="A30" s="1"/>
      <c r="B30" s="1"/>
      <c r="C30" s="37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0" customHeight="1">
      <c r="A31" s="1"/>
      <c r="B31" s="22"/>
      <c r="C31" s="22"/>
      <c r="D31" s="1"/>
      <c r="E31" s="1"/>
      <c r="F31" s="1"/>
      <c r="G31" s="1"/>
      <c r="H31" s="1"/>
      <c r="I31" s="1"/>
      <c r="J31" s="1"/>
      <c r="K31" s="93" t="s">
        <v>63</v>
      </c>
      <c r="L31" s="3"/>
      <c r="M31" s="3"/>
      <c r="N31" s="3"/>
      <c r="O31" s="4"/>
      <c r="P31" s="1"/>
      <c r="Q31" s="1"/>
      <c r="R31" s="1"/>
      <c r="S31" s="1"/>
      <c r="T31" s="1"/>
      <c r="U31" s="22"/>
      <c r="V31" s="103"/>
      <c r="W31" s="1"/>
      <c r="X31" s="1"/>
      <c r="Y31" s="1"/>
      <c r="Z31" s="1"/>
      <c r="AA31" s="1"/>
    </row>
    <row r="32" ht="12.75" customHeight="1">
      <c r="A32" s="1"/>
      <c r="B32" s="22"/>
      <c r="C32" s="22"/>
      <c r="D32" s="1"/>
      <c r="E32" s="1"/>
      <c r="F32" s="1"/>
      <c r="G32" s="1"/>
      <c r="H32" s="1"/>
      <c r="I32" s="1"/>
      <c r="J32" s="1"/>
      <c r="K32" s="94" t="s">
        <v>60</v>
      </c>
      <c r="P32" s="1"/>
      <c r="Q32" s="1"/>
      <c r="R32" s="1"/>
      <c r="S32" s="1"/>
      <c r="T32" s="1"/>
      <c r="U32" s="22"/>
      <c r="V32" s="103"/>
      <c r="W32" s="1"/>
      <c r="X32" s="1"/>
      <c r="Y32" s="1"/>
      <c r="Z32" s="1"/>
      <c r="AA32" s="1"/>
    </row>
    <row r="33" ht="14.25" customHeight="1">
      <c r="A33" s="1"/>
      <c r="B33" s="22"/>
      <c r="C33" s="22"/>
      <c r="D33" s="1"/>
      <c r="E33" s="1"/>
      <c r="F33" s="1"/>
      <c r="G33" s="1"/>
      <c r="H33" s="1"/>
      <c r="I33" s="1"/>
      <c r="J33" s="95">
        <f>$G$20</f>
        <v>134.0158365</v>
      </c>
      <c r="K33" s="104">
        <v>5.0</v>
      </c>
      <c r="L33" s="104">
        <v>6.0</v>
      </c>
      <c r="M33" s="104">
        <v>7.0</v>
      </c>
      <c r="N33" s="104">
        <v>8.0</v>
      </c>
      <c r="O33" s="104">
        <v>9.0</v>
      </c>
      <c r="P33" s="1"/>
      <c r="Q33" s="1"/>
      <c r="R33" s="1"/>
      <c r="S33" s="1"/>
      <c r="T33" s="1"/>
      <c r="U33" s="22"/>
      <c r="V33" s="103"/>
      <c r="W33" s="1"/>
      <c r="X33" s="1"/>
      <c r="Y33" s="1"/>
      <c r="Z33" s="1"/>
      <c r="AA33" s="1"/>
    </row>
    <row r="34" ht="16.5" customHeight="1">
      <c r="A34" s="1"/>
      <c r="B34" s="22"/>
      <c r="C34" s="22"/>
      <c r="D34" s="1"/>
      <c r="E34" s="1"/>
      <c r="F34" s="1"/>
      <c r="G34" s="1"/>
      <c r="H34" s="1"/>
      <c r="I34" s="97" t="s">
        <v>67</v>
      </c>
      <c r="J34" s="98">
        <v>2.0</v>
      </c>
      <c r="K34" s="99">
        <v>107.21266920000002</v>
      </c>
      <c r="L34" s="99">
        <v>107.21266920000002</v>
      </c>
      <c r="M34" s="99">
        <v>107.21266920000002</v>
      </c>
      <c r="N34" s="99">
        <v>107.21266920000002</v>
      </c>
      <c r="O34" s="99">
        <v>107.21266920000002</v>
      </c>
      <c r="P34" s="1"/>
      <c r="Q34" s="1"/>
      <c r="R34" s="1"/>
      <c r="S34" s="1"/>
      <c r="T34" s="1"/>
      <c r="U34" s="22"/>
      <c r="V34" s="103"/>
      <c r="W34" s="1"/>
      <c r="X34" s="1"/>
      <c r="Y34" s="1"/>
      <c r="Z34" s="1"/>
      <c r="AA34" s="1"/>
    </row>
    <row r="35" ht="16.5" customHeight="1">
      <c r="A35" s="1"/>
      <c r="B35" s="22"/>
      <c r="C35" s="22"/>
      <c r="D35" s="1"/>
      <c r="E35" s="1"/>
      <c r="F35" s="1"/>
      <c r="G35" s="1"/>
      <c r="H35" s="1"/>
      <c r="I35" s="100"/>
      <c r="J35" s="98">
        <v>2.2</v>
      </c>
      <c r="K35" s="99">
        <v>117.93393612000001</v>
      </c>
      <c r="L35" s="101">
        <v>117.93393612000001</v>
      </c>
      <c r="M35" s="101">
        <v>117.93393612000001</v>
      </c>
      <c r="N35" s="101">
        <v>117.93393612000001</v>
      </c>
      <c r="O35" s="99">
        <v>117.93393612000001</v>
      </c>
      <c r="P35" s="1"/>
      <c r="Q35" s="1"/>
      <c r="R35" s="1"/>
      <c r="S35" s="1"/>
      <c r="T35" s="1"/>
      <c r="U35" s="22"/>
      <c r="V35" s="103"/>
      <c r="W35" s="1"/>
      <c r="X35" s="1"/>
      <c r="Y35" s="1"/>
      <c r="Z35" s="1"/>
      <c r="AA35" s="1"/>
    </row>
    <row r="36" ht="16.5" customHeight="1">
      <c r="A36" s="1"/>
      <c r="B36" s="22"/>
      <c r="C36" s="22"/>
      <c r="D36" s="1"/>
      <c r="E36" s="1"/>
      <c r="F36" s="1"/>
      <c r="G36" s="1"/>
      <c r="H36" s="1"/>
      <c r="I36" s="100"/>
      <c r="J36" s="98">
        <v>2.5</v>
      </c>
      <c r="K36" s="99">
        <v>134.0158365</v>
      </c>
      <c r="L36" s="101">
        <v>134.0158365</v>
      </c>
      <c r="M36" s="102">
        <v>134.0158365</v>
      </c>
      <c r="N36" s="101">
        <v>134.0158365</v>
      </c>
      <c r="O36" s="99">
        <v>134.0158365</v>
      </c>
      <c r="P36" s="1"/>
      <c r="Q36" s="1"/>
      <c r="R36" s="1"/>
      <c r="S36" s="1"/>
      <c r="T36" s="1"/>
      <c r="U36" s="22"/>
      <c r="V36" s="103"/>
      <c r="W36" s="1"/>
      <c r="X36" s="1"/>
      <c r="Y36" s="1"/>
      <c r="Z36" s="1"/>
      <c r="AA36" s="1"/>
    </row>
    <row r="37" ht="16.5" customHeight="1">
      <c r="A37" s="1"/>
      <c r="B37" s="22"/>
      <c r="C37" s="22"/>
      <c r="D37" s="1"/>
      <c r="E37" s="1"/>
      <c r="F37" s="1"/>
      <c r="G37" s="1"/>
      <c r="H37" s="1"/>
      <c r="I37" s="100"/>
      <c r="J37" s="98">
        <v>2.6</v>
      </c>
      <c r="K37" s="99">
        <v>139.37646996000004</v>
      </c>
      <c r="L37" s="101">
        <v>139.37646996000004</v>
      </c>
      <c r="M37" s="101">
        <v>139.37646996000004</v>
      </c>
      <c r="N37" s="101">
        <v>139.37646996000004</v>
      </c>
      <c r="O37" s="99">
        <v>139.37646996000004</v>
      </c>
      <c r="P37" s="1"/>
      <c r="Q37" s="1"/>
      <c r="R37" s="1"/>
      <c r="S37" s="1"/>
      <c r="T37" s="1"/>
      <c r="U37" s="22"/>
      <c r="V37" s="103"/>
      <c r="W37" s="1"/>
      <c r="X37" s="1"/>
      <c r="Y37" s="1"/>
      <c r="Z37" s="1"/>
      <c r="AA37" s="1"/>
    </row>
    <row r="38" ht="16.5" customHeight="1">
      <c r="A38" s="1"/>
      <c r="B38" s="22"/>
      <c r="C38" s="22"/>
      <c r="D38" s="1"/>
      <c r="E38" s="1"/>
      <c r="F38" s="1"/>
      <c r="G38" s="1"/>
      <c r="H38" s="1"/>
      <c r="I38" s="100"/>
      <c r="J38" s="98">
        <v>2.7</v>
      </c>
      <c r="K38" s="99">
        <v>144.73710342000004</v>
      </c>
      <c r="L38" s="99">
        <v>144.73710342000004</v>
      </c>
      <c r="M38" s="99">
        <v>144.73710342000004</v>
      </c>
      <c r="N38" s="99">
        <v>144.73710342000004</v>
      </c>
      <c r="O38" s="99">
        <v>144.73710342000004</v>
      </c>
      <c r="P38" s="1"/>
      <c r="Q38" s="1"/>
      <c r="R38" s="1"/>
      <c r="S38" s="1"/>
      <c r="T38" s="1"/>
      <c r="U38" s="22"/>
      <c r="V38" s="103"/>
      <c r="W38" s="1"/>
      <c r="X38" s="1"/>
      <c r="Y38" s="1"/>
      <c r="Z38" s="1"/>
      <c r="AA38" s="1"/>
    </row>
    <row r="39" ht="12.75" customHeight="1">
      <c r="A39" s="1"/>
      <c r="B39" s="105"/>
      <c r="D39" s="1"/>
      <c r="E39" s="1"/>
      <c r="F39" s="1"/>
      <c r="G39" s="1"/>
      <c r="H39" s="1"/>
      <c r="I39" s="106"/>
      <c r="J39" s="107"/>
      <c r="K39" s="99"/>
      <c r="L39" s="99"/>
      <c r="M39" s="99"/>
      <c r="N39" s="99"/>
      <c r="O39" s="99"/>
      <c r="P39" s="1"/>
      <c r="Q39" s="1"/>
      <c r="R39" s="1"/>
      <c r="S39" s="1"/>
      <c r="T39" s="1"/>
      <c r="U39" s="22"/>
      <c r="V39" s="103"/>
      <c r="W39" s="1"/>
      <c r="X39" s="1"/>
      <c r="Y39" s="1"/>
      <c r="Z39" s="1"/>
      <c r="AA39" s="1"/>
    </row>
    <row r="40" ht="15.0" customHeight="1">
      <c r="A40" s="1"/>
      <c r="B40" s="1"/>
      <c r="C40" s="108"/>
      <c r="D40" s="1"/>
      <c r="E40" s="1"/>
      <c r="F40" s="1"/>
      <c r="G40" s="1"/>
      <c r="H40" s="1"/>
      <c r="I40" s="1"/>
      <c r="J40" s="1"/>
      <c r="K40" s="93" t="s">
        <v>63</v>
      </c>
      <c r="L40" s="3"/>
      <c r="M40" s="3"/>
      <c r="N40" s="3"/>
      <c r="O40" s="4"/>
      <c r="P40" s="1"/>
      <c r="Q40" s="1"/>
      <c r="R40" s="1"/>
      <c r="S40" s="1"/>
      <c r="T40" s="1"/>
      <c r="U40" s="22"/>
      <c r="V40" s="109"/>
      <c r="W40" s="1"/>
      <c r="X40" s="1"/>
      <c r="Y40" s="1"/>
      <c r="Z40" s="1"/>
      <c r="AA40" s="1"/>
    </row>
    <row r="41" ht="12.75" customHeight="1">
      <c r="A41" s="1"/>
      <c r="B41" s="1"/>
      <c r="C41" s="108"/>
      <c r="D41" s="1"/>
      <c r="E41" s="1"/>
      <c r="F41" s="1"/>
      <c r="G41" s="1"/>
      <c r="H41" s="1"/>
      <c r="I41" s="1"/>
      <c r="J41" s="1"/>
      <c r="K41" s="94" t="s">
        <v>51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4.25" customHeight="1">
      <c r="A42" s="1"/>
      <c r="B42" s="1"/>
      <c r="C42" s="110"/>
      <c r="D42" s="1"/>
      <c r="E42" s="1"/>
      <c r="F42" s="1"/>
      <c r="G42" s="1"/>
      <c r="H42" s="1"/>
      <c r="I42" s="1"/>
      <c r="J42" s="95">
        <f>G20</f>
        <v>134.0158365</v>
      </c>
      <c r="K42" s="96">
        <v>20.0</v>
      </c>
      <c r="L42" s="96">
        <v>22.0</v>
      </c>
      <c r="M42" s="96">
        <v>25.0</v>
      </c>
      <c r="N42" s="96">
        <v>28.0</v>
      </c>
      <c r="O42" s="96">
        <v>30.0</v>
      </c>
      <c r="P42" s="1"/>
      <c r="Q42" s="1"/>
      <c r="R42" s="1"/>
      <c r="S42" s="105"/>
      <c r="Z42" s="1"/>
      <c r="AA42" s="1"/>
    </row>
    <row r="43" ht="16.5" customHeight="1">
      <c r="A43" s="1"/>
      <c r="B43" s="1"/>
      <c r="C43" s="111"/>
      <c r="D43" s="1"/>
      <c r="E43" s="1"/>
      <c r="F43" s="1"/>
      <c r="G43" s="1"/>
      <c r="H43" s="1"/>
      <c r="I43" s="97" t="s">
        <v>67</v>
      </c>
      <c r="J43" s="98">
        <v>2.0</v>
      </c>
      <c r="K43" s="99">
        <v>134.0158365</v>
      </c>
      <c r="L43" s="99">
        <v>121.83257863636365</v>
      </c>
      <c r="M43" s="99">
        <v>107.21266920000002</v>
      </c>
      <c r="N43" s="99">
        <v>95.7255975</v>
      </c>
      <c r="O43" s="99">
        <v>89.34389100000001</v>
      </c>
      <c r="P43" s="1"/>
      <c r="Q43" s="1"/>
      <c r="R43" s="1"/>
      <c r="S43" s="112"/>
      <c r="T43" s="22"/>
      <c r="U43" s="22"/>
      <c r="V43" s="112"/>
      <c r="W43" s="1"/>
      <c r="X43" s="1"/>
      <c r="Y43" s="1"/>
      <c r="Z43" s="1"/>
      <c r="AA43" s="1"/>
    </row>
    <row r="44" ht="16.5" customHeight="1">
      <c r="A44" s="1"/>
      <c r="B44" s="1"/>
      <c r="C44" s="110"/>
      <c r="D44" s="1"/>
      <c r="E44" s="1"/>
      <c r="F44" s="107"/>
      <c r="G44" s="1"/>
      <c r="H44" s="1"/>
      <c r="I44" s="100"/>
      <c r="J44" s="98">
        <v>2.2</v>
      </c>
      <c r="K44" s="99">
        <v>147.41742015000003</v>
      </c>
      <c r="L44" s="101">
        <v>134.0158365</v>
      </c>
      <c r="M44" s="101">
        <v>117.93393612000001</v>
      </c>
      <c r="N44" s="101">
        <v>105.29815725000003</v>
      </c>
      <c r="O44" s="99">
        <v>98.27828010000002</v>
      </c>
      <c r="P44" s="1"/>
      <c r="Q44" s="1"/>
      <c r="R44" s="1"/>
      <c r="S44" s="22"/>
      <c r="T44" s="113"/>
      <c r="U44" s="114"/>
      <c r="V44" s="22"/>
      <c r="W44" s="1"/>
      <c r="X44" s="1"/>
      <c r="Y44" s="1"/>
      <c r="Z44" s="1"/>
      <c r="AA44" s="1"/>
    </row>
    <row r="45" ht="16.5" customHeight="1">
      <c r="A45" s="1"/>
      <c r="B45" s="22"/>
      <c r="C45" s="110"/>
      <c r="D45" s="1"/>
      <c r="E45" s="1"/>
      <c r="F45" s="107"/>
      <c r="G45" s="1"/>
      <c r="H45" s="1"/>
      <c r="I45" s="100"/>
      <c r="J45" s="98">
        <v>2.5</v>
      </c>
      <c r="K45" s="99">
        <v>167.51979562500003</v>
      </c>
      <c r="L45" s="101">
        <v>152.29072329545454</v>
      </c>
      <c r="M45" s="102">
        <v>134.0158365</v>
      </c>
      <c r="N45" s="101">
        <v>119.65699687500003</v>
      </c>
      <c r="O45" s="99">
        <v>111.67986375000001</v>
      </c>
      <c r="P45" s="1"/>
      <c r="Q45" s="1"/>
      <c r="R45" s="1"/>
      <c r="S45" s="22"/>
      <c r="T45" s="113"/>
      <c r="U45" s="115"/>
      <c r="V45" s="22"/>
      <c r="W45" s="1"/>
      <c r="X45" s="1"/>
      <c r="Y45" s="1"/>
      <c r="Z45" s="1"/>
      <c r="AA45" s="1"/>
    </row>
    <row r="46" ht="16.5" customHeight="1">
      <c r="A46" s="1"/>
      <c r="B46" s="22"/>
      <c r="C46" s="110"/>
      <c r="D46" s="1"/>
      <c r="E46" s="1"/>
      <c r="F46" s="107"/>
      <c r="G46" s="1"/>
      <c r="H46" s="1"/>
      <c r="I46" s="100"/>
      <c r="J46" s="98">
        <v>2.6</v>
      </c>
      <c r="K46" s="99">
        <v>174.22058745000004</v>
      </c>
      <c r="L46" s="101">
        <v>158.38235222727275</v>
      </c>
      <c r="M46" s="101">
        <v>139.37646996000004</v>
      </c>
      <c r="N46" s="101">
        <v>124.44327675000001</v>
      </c>
      <c r="O46" s="99">
        <v>116.14705830000003</v>
      </c>
      <c r="P46" s="1"/>
      <c r="Q46" s="1"/>
      <c r="R46" s="1"/>
      <c r="S46" s="22"/>
      <c r="T46" s="103"/>
      <c r="U46" s="116"/>
      <c r="V46" s="22"/>
      <c r="W46" s="1"/>
      <c r="X46" s="1"/>
      <c r="Y46" s="1"/>
      <c r="Z46" s="1"/>
      <c r="AA46" s="1"/>
    </row>
    <row r="47" ht="16.5" customHeight="1">
      <c r="A47" s="1"/>
      <c r="B47" s="22"/>
      <c r="C47" s="117"/>
      <c r="D47" s="1"/>
      <c r="E47" s="1"/>
      <c r="F47" s="107"/>
      <c r="G47" s="1"/>
      <c r="H47" s="1"/>
      <c r="I47" s="100"/>
      <c r="J47" s="98">
        <v>2.7</v>
      </c>
      <c r="K47" s="99">
        <v>180.92137927500002</v>
      </c>
      <c r="L47" s="99">
        <v>164.47398115909098</v>
      </c>
      <c r="M47" s="99">
        <v>144.73710342000004</v>
      </c>
      <c r="N47" s="99">
        <v>129.22955662500001</v>
      </c>
      <c r="O47" s="99">
        <v>120.61425285000003</v>
      </c>
      <c r="P47" s="1"/>
      <c r="Q47" s="1"/>
      <c r="R47" s="1"/>
      <c r="S47" s="22"/>
      <c r="T47" s="118"/>
      <c r="U47" s="116"/>
      <c r="V47" s="22"/>
      <c r="W47" s="1"/>
      <c r="X47" s="1"/>
      <c r="Y47" s="1"/>
      <c r="Z47" s="1"/>
      <c r="AA47" s="1"/>
    </row>
    <row r="48" ht="12.75" customHeight="1">
      <c r="A48" s="1"/>
      <c r="B48" s="1"/>
      <c r="C48" s="119"/>
      <c r="D48" s="1"/>
      <c r="E48" s="1"/>
      <c r="F48" s="107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22"/>
      <c r="T48" s="118"/>
      <c r="U48" s="116"/>
      <c r="V48" s="22"/>
      <c r="W48" s="1"/>
      <c r="X48" s="1"/>
      <c r="Y48" s="1"/>
      <c r="Z48" s="1"/>
      <c r="AA48" s="1"/>
    </row>
    <row r="49" ht="12.75" customHeight="1">
      <c r="A49" s="1"/>
      <c r="B49" s="1"/>
      <c r="C49" s="37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2.75" customHeight="1">
      <c r="A50" s="1"/>
      <c r="B50" s="1"/>
      <c r="C50" s="3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2.75" customHeight="1">
      <c r="A51" s="1"/>
      <c r="B51" s="1"/>
      <c r="C51" s="37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2.75" customHeight="1">
      <c r="A52" s="1"/>
      <c r="B52" s="1"/>
      <c r="C52" s="37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2.75" customHeight="1">
      <c r="A53" s="1"/>
      <c r="B53" s="1"/>
      <c r="C53" s="37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2.75" customHeight="1">
      <c r="A54" s="1"/>
      <c r="B54" s="1"/>
      <c r="C54" s="37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2.75" customHeight="1">
      <c r="A55" s="1"/>
      <c r="B55" s="1"/>
      <c r="C55" s="37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2.75" customHeight="1">
      <c r="A56" s="1"/>
      <c r="B56" s="1"/>
      <c r="C56" s="37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2.75" customHeight="1">
      <c r="A57" s="1"/>
      <c r="B57" s="1"/>
      <c r="C57" s="37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2.75" customHeight="1">
      <c r="A58" s="1"/>
      <c r="B58" s="1"/>
      <c r="C58" s="37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2.75" customHeight="1">
      <c r="A59" s="1"/>
      <c r="B59" s="1"/>
      <c r="C59" s="37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2.75" customHeight="1">
      <c r="A60" s="1"/>
      <c r="B60" s="1"/>
      <c r="C60" s="37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2.75" customHeight="1">
      <c r="A61" s="1"/>
      <c r="B61" s="1"/>
      <c r="C61" s="37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2.75" customHeight="1">
      <c r="A62" s="1"/>
      <c r="B62" s="1"/>
      <c r="C62" s="37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2.75" customHeight="1">
      <c r="A63" s="1"/>
      <c r="B63" s="1"/>
      <c r="C63" s="37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2.75" customHeight="1">
      <c r="A64" s="1"/>
      <c r="B64" s="1"/>
      <c r="C64" s="37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2.75" customHeight="1">
      <c r="A65" s="1"/>
      <c r="B65" s="1"/>
      <c r="C65" s="37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2.75" customHeight="1">
      <c r="A66" s="1"/>
      <c r="B66" s="1"/>
      <c r="C66" s="37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2.75" customHeight="1">
      <c r="A67" s="1"/>
      <c r="B67" s="1"/>
      <c r="C67" s="37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2.75" customHeight="1">
      <c r="A68" s="1"/>
      <c r="B68" s="1"/>
      <c r="C68" s="37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2.75" customHeight="1">
      <c r="A69" s="1"/>
      <c r="B69" s="1"/>
      <c r="C69" s="37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2.75" customHeight="1">
      <c r="A70" s="1"/>
      <c r="B70" s="1"/>
      <c r="C70" s="37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2.75" customHeight="1">
      <c r="A71" s="1"/>
      <c r="B71" s="1"/>
      <c r="C71" s="37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2.75" customHeight="1">
      <c r="A72" s="1"/>
      <c r="B72" s="1"/>
      <c r="C72" s="37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2.75" customHeight="1">
      <c r="A73" s="1"/>
      <c r="B73" s="1"/>
      <c r="C73" s="37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2.75" customHeight="1">
      <c r="A74" s="1"/>
      <c r="B74" s="1"/>
      <c r="C74" s="37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2.75" customHeight="1">
      <c r="A75" s="1"/>
      <c r="B75" s="1"/>
      <c r="C75" s="37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2.75" customHeight="1">
      <c r="A76" s="1"/>
      <c r="B76" s="1"/>
      <c r="C76" s="37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2.75" customHeight="1">
      <c r="A77" s="1"/>
      <c r="B77" s="1"/>
      <c r="C77" s="37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2.75" customHeight="1">
      <c r="A78" s="1"/>
      <c r="B78" s="1"/>
      <c r="C78" s="37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2.75" customHeight="1">
      <c r="A79" s="1"/>
      <c r="B79" s="1"/>
      <c r="C79" s="37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2.75" customHeight="1">
      <c r="A80" s="1"/>
      <c r="B80" s="1"/>
      <c r="C80" s="37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2.75" customHeight="1">
      <c r="A81" s="1"/>
      <c r="B81" s="1"/>
      <c r="C81" s="37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2.75" customHeight="1">
      <c r="A82" s="1"/>
      <c r="B82" s="1"/>
      <c r="C82" s="37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2.75" customHeight="1">
      <c r="A83" s="1"/>
      <c r="B83" s="1"/>
      <c r="C83" s="37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2.75" customHeight="1">
      <c r="A84" s="1"/>
      <c r="B84" s="1"/>
      <c r="C84" s="37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2.75" customHeight="1">
      <c r="A85" s="1"/>
      <c r="B85" s="1"/>
      <c r="C85" s="37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2.75" customHeight="1">
      <c r="A86" s="1"/>
      <c r="B86" s="1"/>
      <c r="C86" s="37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2.75" customHeight="1">
      <c r="A87" s="1"/>
      <c r="B87" s="1"/>
      <c r="C87" s="37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2.75" customHeight="1">
      <c r="A88" s="1"/>
      <c r="B88" s="1"/>
      <c r="C88" s="37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2.75" customHeight="1">
      <c r="A89" s="1"/>
      <c r="B89" s="1"/>
      <c r="C89" s="37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2.75" customHeight="1">
      <c r="A90" s="1"/>
      <c r="B90" s="1"/>
      <c r="C90" s="37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2.75" customHeight="1">
      <c r="A91" s="1"/>
      <c r="B91" s="1"/>
      <c r="C91" s="37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2.75" customHeight="1">
      <c r="A92" s="1"/>
      <c r="B92" s="1"/>
      <c r="C92" s="37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2.75" customHeight="1">
      <c r="A93" s="1"/>
      <c r="B93" s="1"/>
      <c r="C93" s="37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2.75" customHeight="1">
      <c r="A94" s="1"/>
      <c r="B94" s="1"/>
      <c r="C94" s="37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2.75" customHeight="1">
      <c r="A95" s="1"/>
      <c r="B95" s="1"/>
      <c r="C95" s="37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2.75" customHeight="1">
      <c r="A96" s="1"/>
      <c r="B96" s="1"/>
      <c r="C96" s="37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2.75" customHeight="1">
      <c r="A97" s="1"/>
      <c r="B97" s="1"/>
      <c r="C97" s="37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2.75" customHeight="1">
      <c r="A98" s="1"/>
      <c r="B98" s="1"/>
      <c r="C98" s="37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2.75" customHeight="1">
      <c r="A99" s="1"/>
      <c r="B99" s="1"/>
      <c r="C99" s="37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2.75" customHeight="1">
      <c r="A100" s="1"/>
      <c r="B100" s="1"/>
      <c r="C100" s="37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2.75" customHeight="1">
      <c r="A101" s="1"/>
      <c r="B101" s="1"/>
      <c r="C101" s="37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2.75" customHeight="1">
      <c r="A102" s="1"/>
      <c r="B102" s="1"/>
      <c r="C102" s="37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2.75" customHeight="1">
      <c r="A103" s="1"/>
      <c r="B103" s="1"/>
      <c r="C103" s="37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2.75" customHeight="1">
      <c r="A104" s="1"/>
      <c r="B104" s="1"/>
      <c r="C104" s="37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2.75" customHeight="1">
      <c r="A105" s="1"/>
      <c r="B105" s="1"/>
      <c r="C105" s="37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2.75" customHeight="1">
      <c r="A106" s="1"/>
      <c r="B106" s="1"/>
      <c r="C106" s="37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2.75" customHeight="1">
      <c r="A107" s="1"/>
      <c r="B107" s="1"/>
      <c r="C107" s="37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2.75" customHeight="1">
      <c r="A108" s="1"/>
      <c r="B108" s="1"/>
      <c r="C108" s="37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2.75" customHeight="1">
      <c r="A109" s="1"/>
      <c r="B109" s="1"/>
      <c r="C109" s="37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2.75" customHeight="1">
      <c r="A110" s="1"/>
      <c r="B110" s="1"/>
      <c r="C110" s="3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2.75" customHeight="1">
      <c r="A111" s="1"/>
      <c r="B111" s="1"/>
      <c r="C111" s="37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2.75" customHeight="1">
      <c r="A112" s="1"/>
      <c r="B112" s="1"/>
      <c r="C112" s="3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2.75" customHeight="1">
      <c r="A113" s="1"/>
      <c r="B113" s="1"/>
      <c r="C113" s="3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2.75" customHeight="1">
      <c r="A114" s="1"/>
      <c r="B114" s="1"/>
      <c r="C114" s="3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2.75" customHeight="1">
      <c r="A115" s="1"/>
      <c r="B115" s="1"/>
      <c r="C115" s="3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2.75" customHeight="1">
      <c r="A116" s="1"/>
      <c r="B116" s="1"/>
      <c r="C116" s="3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2.75" customHeight="1">
      <c r="A117" s="1"/>
      <c r="B117" s="1"/>
      <c r="C117" s="3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2.75" customHeight="1">
      <c r="A118" s="1"/>
      <c r="B118" s="1"/>
      <c r="C118" s="3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2.75" customHeight="1">
      <c r="A119" s="1"/>
      <c r="B119" s="1"/>
      <c r="C119" s="37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2.75" customHeight="1">
      <c r="A120" s="1"/>
      <c r="B120" s="1"/>
      <c r="C120" s="37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2.75" customHeight="1">
      <c r="A121" s="1"/>
      <c r="B121" s="1"/>
      <c r="C121" s="37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2.75" customHeight="1">
      <c r="A122" s="1"/>
      <c r="B122" s="1"/>
      <c r="C122" s="37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2.75" customHeight="1">
      <c r="A123" s="1"/>
      <c r="B123" s="1"/>
      <c r="C123" s="37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2.75" customHeight="1">
      <c r="A124" s="1"/>
      <c r="B124" s="1"/>
      <c r="C124" s="37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2.75" customHeight="1">
      <c r="A125" s="1"/>
      <c r="B125" s="1"/>
      <c r="C125" s="37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2.75" customHeight="1">
      <c r="A126" s="1"/>
      <c r="B126" s="1"/>
      <c r="C126" s="37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2.75" customHeight="1">
      <c r="A127" s="1"/>
      <c r="B127" s="1"/>
      <c r="C127" s="37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2.75" customHeight="1">
      <c r="A128" s="1"/>
      <c r="B128" s="1"/>
      <c r="C128" s="37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2.75" customHeight="1">
      <c r="A129" s="1"/>
      <c r="B129" s="1"/>
      <c r="C129" s="37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2.75" customHeight="1">
      <c r="A130" s="1"/>
      <c r="B130" s="1"/>
      <c r="C130" s="37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2.75" customHeight="1">
      <c r="A131" s="1"/>
      <c r="B131" s="1"/>
      <c r="C131" s="37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2.75" customHeight="1">
      <c r="A132" s="1"/>
      <c r="B132" s="1"/>
      <c r="C132" s="37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2.75" customHeight="1">
      <c r="A133" s="1"/>
      <c r="B133" s="1"/>
      <c r="C133" s="37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2.75" customHeight="1">
      <c r="A134" s="1"/>
      <c r="B134" s="1"/>
      <c r="C134" s="37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2.75" customHeight="1">
      <c r="A135" s="1"/>
      <c r="B135" s="1"/>
      <c r="C135" s="37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2.75" customHeight="1">
      <c r="A136" s="1"/>
      <c r="B136" s="1"/>
      <c r="C136" s="37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2.75" customHeight="1">
      <c r="A137" s="1"/>
      <c r="B137" s="1"/>
      <c r="C137" s="37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2.75" customHeight="1">
      <c r="A138" s="1"/>
      <c r="B138" s="1"/>
      <c r="C138" s="37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2.75" customHeight="1">
      <c r="A139" s="1"/>
      <c r="B139" s="1"/>
      <c r="C139" s="37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2.75" customHeight="1">
      <c r="A140" s="1"/>
      <c r="B140" s="1"/>
      <c r="C140" s="37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2.75" customHeight="1">
      <c r="A141" s="1"/>
      <c r="B141" s="1"/>
      <c r="C141" s="37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2.75" customHeight="1">
      <c r="A142" s="1"/>
      <c r="B142" s="1"/>
      <c r="C142" s="37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2.75" customHeight="1">
      <c r="A143" s="1"/>
      <c r="B143" s="1"/>
      <c r="C143" s="37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2.75" customHeight="1">
      <c r="A144" s="1"/>
      <c r="B144" s="1"/>
      <c r="C144" s="37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2.75" customHeight="1">
      <c r="A145" s="1"/>
      <c r="B145" s="1"/>
      <c r="C145" s="37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2.75" customHeight="1">
      <c r="A146" s="1"/>
      <c r="B146" s="1"/>
      <c r="C146" s="37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2.75" customHeight="1">
      <c r="A147" s="1"/>
      <c r="B147" s="1"/>
      <c r="C147" s="37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2.75" customHeight="1">
      <c r="A148" s="1"/>
      <c r="B148" s="1"/>
      <c r="C148" s="3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2.75" customHeight="1">
      <c r="A149" s="1"/>
      <c r="B149" s="1"/>
      <c r="C149" s="3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2.75" customHeight="1">
      <c r="A150" s="1"/>
      <c r="B150" s="1"/>
      <c r="C150" s="3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2.75" customHeight="1">
      <c r="A151" s="1"/>
      <c r="B151" s="1"/>
      <c r="C151" s="37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2.75" customHeight="1">
      <c r="A152" s="1"/>
      <c r="B152" s="1"/>
      <c r="C152" s="37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2.75" customHeight="1">
      <c r="A153" s="1"/>
      <c r="B153" s="1"/>
      <c r="C153" s="3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2.75" customHeight="1">
      <c r="A154" s="1"/>
      <c r="B154" s="1"/>
      <c r="C154" s="37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2.75" customHeight="1">
      <c r="A155" s="1"/>
      <c r="B155" s="1"/>
      <c r="C155" s="37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2.75" customHeight="1">
      <c r="A156" s="1"/>
      <c r="B156" s="1"/>
      <c r="C156" s="37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2.75" customHeight="1">
      <c r="A157" s="1"/>
      <c r="B157" s="1"/>
      <c r="C157" s="37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2.75" customHeight="1">
      <c r="A158" s="1"/>
      <c r="B158" s="1"/>
      <c r="C158" s="37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2.75" customHeight="1">
      <c r="A159" s="1"/>
      <c r="B159" s="1"/>
      <c r="C159" s="37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2.75" customHeight="1">
      <c r="A160" s="1"/>
      <c r="B160" s="1"/>
      <c r="C160" s="37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2.75" customHeight="1">
      <c r="A161" s="1"/>
      <c r="B161" s="1"/>
      <c r="C161" s="3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2.75" customHeight="1">
      <c r="A162" s="1"/>
      <c r="B162" s="1"/>
      <c r="C162" s="3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2.75" customHeight="1">
      <c r="A163" s="1"/>
      <c r="B163" s="1"/>
      <c r="C163" s="37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2.75" customHeight="1">
      <c r="A164" s="1"/>
      <c r="B164" s="1"/>
      <c r="C164" s="37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2.75" customHeight="1">
      <c r="A165" s="1"/>
      <c r="B165" s="1"/>
      <c r="C165" s="37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2.75" customHeight="1">
      <c r="A166" s="1"/>
      <c r="B166" s="1"/>
      <c r="C166" s="37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2.75" customHeight="1">
      <c r="A167" s="1"/>
      <c r="B167" s="1"/>
      <c r="C167" s="37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2.75" customHeight="1">
      <c r="A168" s="1"/>
      <c r="B168" s="1"/>
      <c r="C168" s="37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2.75" customHeight="1">
      <c r="A169" s="1"/>
      <c r="B169" s="1"/>
      <c r="C169" s="37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2.75" customHeight="1">
      <c r="A170" s="1"/>
      <c r="B170" s="1"/>
      <c r="C170" s="37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2.75" customHeight="1">
      <c r="A171" s="1"/>
      <c r="B171" s="1"/>
      <c r="C171" s="37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2.75" customHeight="1">
      <c r="A172" s="1"/>
      <c r="B172" s="1"/>
      <c r="C172" s="37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2.75" customHeight="1">
      <c r="A173" s="1"/>
      <c r="B173" s="1"/>
      <c r="C173" s="37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2.75" customHeight="1">
      <c r="A174" s="1"/>
      <c r="B174" s="1"/>
      <c r="C174" s="37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2.75" customHeight="1">
      <c r="A175" s="1"/>
      <c r="B175" s="1"/>
      <c r="C175" s="37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2.75" customHeight="1">
      <c r="A176" s="1"/>
      <c r="B176" s="1"/>
      <c r="C176" s="37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2.75" customHeight="1">
      <c r="A177" s="1"/>
      <c r="B177" s="1"/>
      <c r="C177" s="37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2.75" customHeight="1">
      <c r="A178" s="1"/>
      <c r="B178" s="1"/>
      <c r="C178" s="37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2.75" customHeight="1">
      <c r="A179" s="1"/>
      <c r="B179" s="1"/>
      <c r="C179" s="37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2.75" customHeight="1">
      <c r="A180" s="1"/>
      <c r="B180" s="1"/>
      <c r="C180" s="37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2.75" customHeight="1">
      <c r="A181" s="1"/>
      <c r="B181" s="1"/>
      <c r="C181" s="37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2.75" customHeight="1">
      <c r="A182" s="1"/>
      <c r="B182" s="1"/>
      <c r="C182" s="37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2.75" customHeight="1">
      <c r="A183" s="1"/>
      <c r="B183" s="1"/>
      <c r="C183" s="37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2.75" customHeight="1">
      <c r="A184" s="1"/>
      <c r="B184" s="1"/>
      <c r="C184" s="37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2.75" customHeight="1">
      <c r="A185" s="1"/>
      <c r="B185" s="1"/>
      <c r="C185" s="37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2.75" customHeight="1">
      <c r="A186" s="1"/>
      <c r="B186" s="1"/>
      <c r="C186" s="37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2.75" customHeight="1">
      <c r="A187" s="1"/>
      <c r="B187" s="1"/>
      <c r="C187" s="37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2.75" customHeight="1">
      <c r="A188" s="1"/>
      <c r="B188" s="1"/>
      <c r="C188" s="37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2.75" customHeight="1">
      <c r="A189" s="1"/>
      <c r="B189" s="1"/>
      <c r="C189" s="37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2.75" customHeight="1">
      <c r="A190" s="1"/>
      <c r="B190" s="1"/>
      <c r="C190" s="37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2.75" customHeight="1">
      <c r="A191" s="1"/>
      <c r="B191" s="1"/>
      <c r="C191" s="37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2.75" customHeight="1">
      <c r="A192" s="1"/>
      <c r="B192" s="1"/>
      <c r="C192" s="37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2.75" customHeight="1">
      <c r="A193" s="1"/>
      <c r="B193" s="1"/>
      <c r="C193" s="37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2.75" customHeight="1">
      <c r="A194" s="1"/>
      <c r="B194" s="1"/>
      <c r="C194" s="37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2.75" customHeight="1">
      <c r="A195" s="1"/>
      <c r="B195" s="1"/>
      <c r="C195" s="37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2.75" customHeight="1">
      <c r="A196" s="1"/>
      <c r="B196" s="1"/>
      <c r="C196" s="37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2.75" customHeight="1">
      <c r="A197" s="1"/>
      <c r="B197" s="1"/>
      <c r="C197" s="37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2.75" customHeight="1">
      <c r="A198" s="1"/>
      <c r="B198" s="1"/>
      <c r="C198" s="37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2.75" customHeight="1">
      <c r="A199" s="1"/>
      <c r="B199" s="1"/>
      <c r="C199" s="37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2.75" customHeight="1">
      <c r="A200" s="1"/>
      <c r="B200" s="1"/>
      <c r="C200" s="37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2.75" customHeight="1">
      <c r="A201" s="1"/>
      <c r="B201" s="1"/>
      <c r="C201" s="37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2.75" customHeight="1">
      <c r="A202" s="1"/>
      <c r="B202" s="1"/>
      <c r="C202" s="37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2.75" customHeight="1">
      <c r="A203" s="1"/>
      <c r="B203" s="1"/>
      <c r="C203" s="37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2.75" customHeight="1">
      <c r="A204" s="1"/>
      <c r="B204" s="1"/>
      <c r="C204" s="37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2.75" customHeight="1">
      <c r="A205" s="1"/>
      <c r="B205" s="1"/>
      <c r="C205" s="37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2.75" customHeight="1">
      <c r="A206" s="1"/>
      <c r="B206" s="1"/>
      <c r="C206" s="37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2.75" customHeight="1">
      <c r="A207" s="1"/>
      <c r="B207" s="1"/>
      <c r="C207" s="37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2.75" customHeight="1">
      <c r="A208" s="1"/>
      <c r="B208" s="1"/>
      <c r="C208" s="37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2.75" customHeight="1">
      <c r="A209" s="1"/>
      <c r="B209" s="1"/>
      <c r="C209" s="37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2.75" customHeight="1">
      <c r="A210" s="1"/>
      <c r="B210" s="1"/>
      <c r="C210" s="37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2.75" customHeight="1">
      <c r="A211" s="1"/>
      <c r="B211" s="1"/>
      <c r="C211" s="37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2.75" customHeight="1">
      <c r="A212" s="1"/>
      <c r="B212" s="1"/>
      <c r="C212" s="37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2.75" customHeight="1">
      <c r="A213" s="1"/>
      <c r="B213" s="1"/>
      <c r="C213" s="37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2.75" customHeight="1">
      <c r="A214" s="1"/>
      <c r="B214" s="1"/>
      <c r="C214" s="37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2.75" customHeight="1">
      <c r="A215" s="1"/>
      <c r="B215" s="1"/>
      <c r="C215" s="37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2.75" customHeight="1">
      <c r="A216" s="1"/>
      <c r="B216" s="1"/>
      <c r="C216" s="37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2.75" customHeight="1">
      <c r="A217" s="1"/>
      <c r="B217" s="1"/>
      <c r="C217" s="37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2.75" customHeight="1">
      <c r="A218" s="1"/>
      <c r="B218" s="1"/>
      <c r="C218" s="37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2.75" customHeight="1">
      <c r="A219" s="1"/>
      <c r="B219" s="1"/>
      <c r="C219" s="37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2.75" customHeight="1">
      <c r="A220" s="1"/>
      <c r="B220" s="1"/>
      <c r="C220" s="37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2.75" customHeight="1">
      <c r="A221" s="1"/>
      <c r="B221" s="1"/>
      <c r="C221" s="37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2.75" customHeight="1">
      <c r="A222" s="1"/>
      <c r="B222" s="1"/>
      <c r="C222" s="37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2.75" customHeight="1">
      <c r="A223" s="1"/>
      <c r="B223" s="1"/>
      <c r="C223" s="37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2.75" customHeight="1">
      <c r="A224" s="1"/>
      <c r="B224" s="1"/>
      <c r="C224" s="37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2.75" customHeight="1">
      <c r="A225" s="1"/>
      <c r="B225" s="1"/>
      <c r="C225" s="37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2.75" customHeight="1">
      <c r="A226" s="1"/>
      <c r="B226" s="1"/>
      <c r="C226" s="37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2.75" customHeight="1">
      <c r="A227" s="1"/>
      <c r="B227" s="1"/>
      <c r="C227" s="37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2.75" customHeight="1">
      <c r="A228" s="1"/>
      <c r="B228" s="1"/>
      <c r="C228" s="37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2.75" customHeight="1">
      <c r="A229" s="1"/>
      <c r="B229" s="1"/>
      <c r="C229" s="37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2.75" customHeight="1">
      <c r="A230" s="1"/>
      <c r="B230" s="1"/>
      <c r="C230" s="37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2.75" customHeight="1">
      <c r="A231" s="1"/>
      <c r="B231" s="1"/>
      <c r="C231" s="37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2.75" customHeight="1">
      <c r="A232" s="1"/>
      <c r="B232" s="1"/>
      <c r="C232" s="37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2.75" customHeight="1">
      <c r="A233" s="1"/>
      <c r="B233" s="1"/>
      <c r="C233" s="37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2.75" customHeight="1">
      <c r="A234" s="1"/>
      <c r="B234" s="1"/>
      <c r="C234" s="37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2.75" customHeight="1">
      <c r="A235" s="1"/>
      <c r="B235" s="1"/>
      <c r="C235" s="37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2.75" customHeight="1">
      <c r="A236" s="1"/>
      <c r="B236" s="1"/>
      <c r="C236" s="37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2.75" customHeight="1">
      <c r="A237" s="1"/>
      <c r="B237" s="1"/>
      <c r="C237" s="37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2.75" customHeight="1">
      <c r="A238" s="1"/>
      <c r="B238" s="1"/>
      <c r="C238" s="37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2.75" customHeight="1">
      <c r="A239" s="1"/>
      <c r="B239" s="1"/>
      <c r="C239" s="37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2.75" customHeight="1">
      <c r="A240" s="1"/>
      <c r="B240" s="1"/>
      <c r="C240" s="37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2.75" customHeight="1">
      <c r="A241" s="1"/>
      <c r="B241" s="1"/>
      <c r="C241" s="37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2.75" customHeight="1">
      <c r="A242" s="1"/>
      <c r="B242" s="1"/>
      <c r="C242" s="37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2.75" customHeight="1">
      <c r="A243" s="1"/>
      <c r="B243" s="1"/>
      <c r="C243" s="37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2.75" customHeight="1">
      <c r="A244" s="1"/>
      <c r="B244" s="1"/>
      <c r="C244" s="37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2.75" customHeight="1">
      <c r="A245" s="1"/>
      <c r="B245" s="1"/>
      <c r="C245" s="37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2.75" customHeight="1">
      <c r="A246" s="1"/>
      <c r="B246" s="1"/>
      <c r="C246" s="37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2.75" customHeight="1">
      <c r="A247" s="1"/>
      <c r="B247" s="1"/>
      <c r="C247" s="37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K40:O40"/>
    <mergeCell ref="K41:O41"/>
    <mergeCell ref="S42:Y42"/>
    <mergeCell ref="I43:I47"/>
    <mergeCell ref="K22:O22"/>
    <mergeCell ref="K23:O23"/>
    <mergeCell ref="I25:I29"/>
    <mergeCell ref="K31:O31"/>
    <mergeCell ref="K32:O32"/>
    <mergeCell ref="I34:I38"/>
    <mergeCell ref="B39:C39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86"/>
    <col customWidth="1" min="2" max="2" width="45.71"/>
    <col customWidth="1" min="3" max="3" width="10.43"/>
    <col customWidth="1" min="4" max="4" width="21.14"/>
    <col customWidth="1" min="5" max="5" width="9.86"/>
    <col customWidth="1" min="6" max="6" width="6.29"/>
    <col customWidth="1" min="7" max="7" width="7.29"/>
    <col customWidth="1" min="8" max="11" width="12.43"/>
    <col customWidth="1" min="12" max="12" width="7.14"/>
    <col customWidth="1" min="13" max="13" width="6.29"/>
    <col customWidth="1" min="14" max="14" width="7.71"/>
    <col customWidth="1" min="15" max="18" width="12.43"/>
    <col customWidth="1" min="19" max="19" width="7.14"/>
    <col customWidth="1" min="20" max="20" width="6.29"/>
    <col customWidth="1" min="21" max="21" width="7.29"/>
    <col customWidth="1" min="22" max="25" width="12.43"/>
    <col customWidth="1" min="26" max="26" width="7.14"/>
    <col customWidth="1" min="27" max="27" width="6.29"/>
    <col customWidth="1" min="28" max="28" width="7.29"/>
    <col customWidth="1" min="29" max="32" width="12.43"/>
  </cols>
  <sheetData>
    <row r="1" ht="12.75" customHeight="1">
      <c r="A1" s="120"/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</row>
    <row r="2" ht="13.5" customHeight="1">
      <c r="A2" s="120"/>
      <c r="B2" s="121" t="s">
        <v>68</v>
      </c>
      <c r="C2" s="4"/>
      <c r="D2" s="122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</row>
    <row r="3" ht="13.5" customHeight="1">
      <c r="A3" s="120"/>
      <c r="B3" s="123"/>
      <c r="C3" s="123"/>
      <c r="D3" s="123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</row>
    <row r="4" ht="13.5" customHeight="1">
      <c r="A4" s="120"/>
      <c r="B4" s="120" t="s">
        <v>69</v>
      </c>
      <c r="C4" s="124">
        <v>1.34E8</v>
      </c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</row>
    <row r="5" ht="13.5" customHeight="1">
      <c r="A5" s="120"/>
      <c r="B5" s="125" t="s">
        <v>70</v>
      </c>
      <c r="C5" s="126">
        <v>1.0</v>
      </c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</row>
    <row r="6" ht="13.5" customHeight="1">
      <c r="A6" s="120"/>
      <c r="B6" s="127" t="s">
        <v>71</v>
      </c>
      <c r="C6" s="128">
        <f>C4*C5</f>
        <v>134000000</v>
      </c>
      <c r="D6" s="120"/>
      <c r="E6" s="120"/>
      <c r="F6" s="120"/>
      <c r="G6" s="129" t="s">
        <v>72</v>
      </c>
      <c r="H6" s="3"/>
      <c r="I6" s="3"/>
      <c r="J6" s="3"/>
      <c r="K6" s="3"/>
      <c r="L6" s="3"/>
      <c r="M6" s="3"/>
      <c r="N6" s="3"/>
      <c r="O6" s="3"/>
      <c r="P6" s="3"/>
      <c r="Q6" s="3"/>
      <c r="R6" s="4"/>
      <c r="S6" s="120"/>
      <c r="T6" s="120"/>
      <c r="U6" s="129" t="s">
        <v>73</v>
      </c>
      <c r="V6" s="3"/>
      <c r="W6" s="3"/>
      <c r="X6" s="3"/>
      <c r="Y6" s="3"/>
      <c r="Z6" s="3"/>
      <c r="AA6" s="3"/>
      <c r="AB6" s="3"/>
      <c r="AC6" s="3"/>
      <c r="AD6" s="3"/>
      <c r="AE6" s="3"/>
      <c r="AF6" s="4"/>
    </row>
    <row r="7" ht="13.5" customHeight="1">
      <c r="A7" s="120"/>
      <c r="B7" s="120"/>
      <c r="C7" s="123"/>
      <c r="D7" s="123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</row>
    <row r="8" ht="12.75" customHeight="1">
      <c r="A8" s="120"/>
      <c r="B8" s="120" t="s">
        <v>74</v>
      </c>
      <c r="C8" s="130">
        <f>'Exit Scenario'!C10</f>
        <v>0.1</v>
      </c>
      <c r="D8" s="123" t="s">
        <v>75</v>
      </c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</row>
    <row r="9" ht="13.5" customHeight="1">
      <c r="A9" s="120"/>
      <c r="B9" s="131" t="s">
        <v>76</v>
      </c>
      <c r="C9" s="132">
        <f>'Exit Scenario'!G19</f>
        <v>0.071145</v>
      </c>
      <c r="D9" s="123" t="s">
        <v>75</v>
      </c>
      <c r="E9" s="133"/>
      <c r="F9" s="133"/>
      <c r="G9" s="134" t="s">
        <v>77</v>
      </c>
      <c r="H9" s="133"/>
      <c r="I9" s="133"/>
      <c r="J9" s="133"/>
      <c r="K9" s="120"/>
      <c r="L9" s="120"/>
      <c r="M9" s="133"/>
      <c r="N9" s="134" t="s">
        <v>78</v>
      </c>
      <c r="O9" s="133"/>
      <c r="P9" s="133"/>
      <c r="Q9" s="133"/>
      <c r="R9" s="120"/>
      <c r="S9" s="120"/>
      <c r="T9" s="133"/>
      <c r="U9" s="134" t="s">
        <v>79</v>
      </c>
      <c r="V9" s="133"/>
      <c r="W9" s="133"/>
      <c r="X9" s="133"/>
      <c r="Y9" s="120"/>
      <c r="Z9" s="120"/>
      <c r="AA9" s="133"/>
      <c r="AB9" s="134" t="s">
        <v>80</v>
      </c>
      <c r="AC9" s="133"/>
      <c r="AD9" s="133"/>
      <c r="AE9" s="133"/>
      <c r="AF9" s="120"/>
    </row>
    <row r="10" ht="13.5" customHeight="1">
      <c r="A10" s="120"/>
      <c r="B10" s="120"/>
      <c r="C10" s="120"/>
      <c r="D10" s="120"/>
      <c r="E10" s="120"/>
      <c r="F10" s="133"/>
      <c r="G10" s="93" t="s">
        <v>81</v>
      </c>
      <c r="H10" s="3"/>
      <c r="I10" s="3"/>
      <c r="J10" s="3"/>
      <c r="K10" s="4"/>
      <c r="L10" s="120"/>
      <c r="M10" s="133"/>
      <c r="N10" s="93" t="s">
        <v>81</v>
      </c>
      <c r="O10" s="3"/>
      <c r="P10" s="3"/>
      <c r="Q10" s="3"/>
      <c r="R10" s="4"/>
      <c r="S10" s="120"/>
      <c r="T10" s="133"/>
      <c r="U10" s="93" t="s">
        <v>81</v>
      </c>
      <c r="V10" s="3"/>
      <c r="W10" s="3"/>
      <c r="X10" s="3"/>
      <c r="Y10" s="4"/>
      <c r="Z10" s="120"/>
      <c r="AA10" s="133"/>
      <c r="AB10" s="93" t="s">
        <v>81</v>
      </c>
      <c r="AC10" s="3"/>
      <c r="AD10" s="3"/>
      <c r="AE10" s="3"/>
      <c r="AF10" s="4"/>
    </row>
    <row r="11" ht="13.5" customHeight="1">
      <c r="A11" s="123"/>
      <c r="B11" s="125" t="s">
        <v>82</v>
      </c>
      <c r="C11" s="135">
        <f>'Exit Scenario'!G17</f>
        <v>7</v>
      </c>
      <c r="D11" s="120"/>
      <c r="E11" s="123"/>
      <c r="F11" s="133"/>
      <c r="G11" s="136" t="s">
        <v>70</v>
      </c>
      <c r="L11" s="123"/>
      <c r="M11" s="133"/>
      <c r="N11" s="136" t="s">
        <v>70</v>
      </c>
      <c r="S11" s="123"/>
      <c r="T11" s="133"/>
      <c r="U11" s="136" t="s">
        <v>70</v>
      </c>
      <c r="Z11" s="123"/>
      <c r="AA11" s="133"/>
      <c r="AB11" s="136" t="s">
        <v>70</v>
      </c>
    </row>
    <row r="12" ht="13.5" customHeight="1">
      <c r="A12" s="120"/>
      <c r="B12" s="137" t="s">
        <v>83</v>
      </c>
      <c r="C12" s="138">
        <f>C6/C9/C11</f>
        <v>269068200.8</v>
      </c>
      <c r="D12" s="120"/>
      <c r="E12" s="120"/>
      <c r="F12" s="133"/>
      <c r="G12" s="139">
        <f>C18</f>
        <v>0.04098777214</v>
      </c>
      <c r="H12" s="140">
        <v>0.5</v>
      </c>
      <c r="I12" s="140">
        <v>0.75</v>
      </c>
      <c r="J12" s="140">
        <v>1.0</v>
      </c>
      <c r="K12" s="140">
        <v>1.5</v>
      </c>
      <c r="L12" s="120"/>
      <c r="M12" s="133"/>
      <c r="N12" s="139">
        <f>C18</f>
        <v>0.04098777214</v>
      </c>
      <c r="O12" s="140">
        <v>0.5</v>
      </c>
      <c r="P12" s="140">
        <v>0.75</v>
      </c>
      <c r="Q12" s="140">
        <v>1.0</v>
      </c>
      <c r="R12" s="140">
        <v>1.5</v>
      </c>
      <c r="S12" s="120"/>
      <c r="T12" s="133"/>
      <c r="U12" s="139">
        <f>C24</f>
        <v>0.0333268096</v>
      </c>
      <c r="V12" s="140">
        <v>0.5</v>
      </c>
      <c r="W12" s="140">
        <v>0.75</v>
      </c>
      <c r="X12" s="140">
        <v>1.0</v>
      </c>
      <c r="Y12" s="140">
        <v>1.5</v>
      </c>
      <c r="Z12" s="120"/>
      <c r="AA12" s="133"/>
      <c r="AB12" s="139">
        <f>C24</f>
        <v>0.0333268096</v>
      </c>
      <c r="AC12" s="140">
        <v>0.5</v>
      </c>
      <c r="AD12" s="140">
        <v>0.75</v>
      </c>
      <c r="AE12" s="140">
        <v>1.0</v>
      </c>
      <c r="AF12" s="140">
        <v>1.5</v>
      </c>
    </row>
    <row r="13" ht="14.25" customHeight="1">
      <c r="A13" s="120"/>
      <c r="B13" s="120"/>
      <c r="C13" s="120"/>
      <c r="D13" s="120"/>
      <c r="E13" s="120"/>
      <c r="F13" s="141" t="s">
        <v>82</v>
      </c>
      <c r="G13" s="142">
        <f>G15-2</f>
        <v>5</v>
      </c>
      <c r="H13" s="143">
        <v>0.028691440497992972</v>
      </c>
      <c r="I13" s="143">
        <v>0.04303716074698946</v>
      </c>
      <c r="J13" s="143">
        <v>0.057382880995985944</v>
      </c>
      <c r="K13" s="143">
        <v>0.08607432149397892</v>
      </c>
      <c r="L13" s="120"/>
      <c r="M13" s="141" t="s">
        <v>84</v>
      </c>
      <c r="N13" s="144">
        <f>C14</f>
        <v>50000</v>
      </c>
      <c r="O13" s="143">
        <v>0.02049388606999498</v>
      </c>
      <c r="P13" s="145">
        <v>0.030740829104992474</v>
      </c>
      <c r="Q13" s="146">
        <v>0.04098777213998996</v>
      </c>
      <c r="R13" s="145">
        <v>0.06148165820998495</v>
      </c>
      <c r="S13" s="120"/>
      <c r="T13" s="141" t="s">
        <v>82</v>
      </c>
      <c r="U13" s="142">
        <f>U15-2</f>
        <v>6</v>
      </c>
      <c r="V13" s="143">
        <v>0.01944063893094251</v>
      </c>
      <c r="W13" s="143">
        <v>0.029160958396413764</v>
      </c>
      <c r="X13" s="143">
        <v>0.03888127786188502</v>
      </c>
      <c r="Y13" s="143">
        <v>0.05832191679282753</v>
      </c>
      <c r="Z13" s="120"/>
      <c r="AA13" s="141" t="s">
        <v>84</v>
      </c>
      <c r="AB13" s="144">
        <f>C14</f>
        <v>50000</v>
      </c>
      <c r="AC13" s="143">
        <v>0.016663404797950726</v>
      </c>
      <c r="AD13" s="145">
        <v>0.024995107196926086</v>
      </c>
      <c r="AE13" s="146">
        <v>0.03332680959590145</v>
      </c>
      <c r="AF13" s="145">
        <v>0.04999021439385217</v>
      </c>
    </row>
    <row r="14" ht="13.5" customHeight="1">
      <c r="A14" s="120"/>
      <c r="B14" s="125" t="s">
        <v>85</v>
      </c>
      <c r="C14" s="147">
        <v>50000.0</v>
      </c>
      <c r="D14" s="123"/>
      <c r="E14" s="120"/>
      <c r="F14" s="100"/>
      <c r="G14" s="142">
        <f>G15-1</f>
        <v>6</v>
      </c>
      <c r="H14" s="143">
        <v>0.023909533748327477</v>
      </c>
      <c r="I14" s="148">
        <v>0.03586430062249121</v>
      </c>
      <c r="J14" s="148">
        <v>0.04781906749665495</v>
      </c>
      <c r="K14" s="148">
        <v>0.07172860124498243</v>
      </c>
      <c r="L14" s="120"/>
      <c r="M14" s="100"/>
      <c r="N14" s="149">
        <f>12*400</f>
        <v>4800</v>
      </c>
      <c r="O14" s="143">
        <v>0.21347797989578104</v>
      </c>
      <c r="P14" s="148">
        <v>0.3202169698436716</v>
      </c>
      <c r="Q14" s="148">
        <v>0.4269559597915621</v>
      </c>
      <c r="R14" s="148">
        <v>0.6404339396873432</v>
      </c>
      <c r="S14" s="120"/>
      <c r="T14" s="100"/>
      <c r="U14" s="142">
        <f>U15-1</f>
        <v>7</v>
      </c>
      <c r="V14" s="143">
        <v>0.016663404797950726</v>
      </c>
      <c r="W14" s="148">
        <v>0.024995107196926086</v>
      </c>
      <c r="X14" s="148">
        <v>0.03332680959590145</v>
      </c>
      <c r="Y14" s="148">
        <v>0.04999021439385217</v>
      </c>
      <c r="Z14" s="120"/>
      <c r="AA14" s="100"/>
      <c r="AB14" s="149">
        <v>30000.0</v>
      </c>
      <c r="AC14" s="143">
        <v>0.027772341329917873</v>
      </c>
      <c r="AD14" s="148">
        <v>0.04165851199487681</v>
      </c>
      <c r="AE14" s="148">
        <v>0.05554468265983575</v>
      </c>
      <c r="AF14" s="148">
        <v>0.08331702398975362</v>
      </c>
    </row>
    <row r="15" ht="13.5" customHeight="1">
      <c r="A15" s="123"/>
      <c r="B15" s="137" t="s">
        <v>86</v>
      </c>
      <c r="C15" s="150">
        <f>C12/C14</f>
        <v>5381.364015</v>
      </c>
      <c r="D15" s="120"/>
      <c r="E15" s="123"/>
      <c r="F15" s="100"/>
      <c r="G15" s="151">
        <v>7.0</v>
      </c>
      <c r="H15" s="143">
        <v>0.02049388606999498</v>
      </c>
      <c r="I15" s="148">
        <v>0.030740829104992474</v>
      </c>
      <c r="J15" s="152">
        <v>0.04098777213998996</v>
      </c>
      <c r="K15" s="148">
        <v>0.06148165820998495</v>
      </c>
      <c r="L15" s="123"/>
      <c r="M15" s="100"/>
      <c r="N15" s="149">
        <f>12*450</f>
        <v>5400</v>
      </c>
      <c r="O15" s="143">
        <v>0.18975820435180538</v>
      </c>
      <c r="P15" s="143">
        <v>0.2846373065277081</v>
      </c>
      <c r="Q15" s="143">
        <v>0.37951640870361075</v>
      </c>
      <c r="R15" s="143">
        <v>0.5692746130554162</v>
      </c>
      <c r="S15" s="123"/>
      <c r="T15" s="100"/>
      <c r="U15" s="151">
        <v>8.0</v>
      </c>
      <c r="V15" s="143">
        <v>0.014580479198206882</v>
      </c>
      <c r="W15" s="148">
        <v>0.021870718797310323</v>
      </c>
      <c r="X15" s="152">
        <v>0.029160958396413764</v>
      </c>
      <c r="Y15" s="148">
        <v>0.043741437594620645</v>
      </c>
      <c r="Z15" s="123"/>
      <c r="AA15" s="100"/>
      <c r="AB15" s="149">
        <f t="shared" ref="AB15:AB17" si="1">AB14+5000</f>
        <v>35000</v>
      </c>
      <c r="AC15" s="143">
        <v>0.023804863997072462</v>
      </c>
      <c r="AD15" s="143">
        <v>0.03570729599560869</v>
      </c>
      <c r="AE15" s="143">
        <v>0.047609727994144924</v>
      </c>
      <c r="AF15" s="143">
        <v>0.07141459199121739</v>
      </c>
    </row>
    <row r="16" ht="13.5" customHeight="1">
      <c r="A16" s="123"/>
      <c r="B16" s="120"/>
      <c r="C16" s="120"/>
      <c r="D16" s="120"/>
      <c r="E16" s="123"/>
      <c r="F16" s="100"/>
      <c r="G16" s="142">
        <f>G15+1</f>
        <v>8</v>
      </c>
      <c r="H16" s="143">
        <v>0.017932150311245607</v>
      </c>
      <c r="I16" s="148">
        <v>0.026898225466868413</v>
      </c>
      <c r="J16" s="148">
        <v>0.03586430062249121</v>
      </c>
      <c r="K16" s="148">
        <v>0.05379645093373683</v>
      </c>
      <c r="L16" s="123"/>
      <c r="M16" s="100"/>
      <c r="N16" s="149">
        <f>12*500</f>
        <v>6000</v>
      </c>
      <c r="O16" s="143">
        <v>0.17078238391662484</v>
      </c>
      <c r="P16" s="143">
        <v>0.2561735758749372</v>
      </c>
      <c r="Q16" s="143">
        <v>0.3415647678332497</v>
      </c>
      <c r="R16" s="143">
        <v>0.5123471517498744</v>
      </c>
      <c r="S16" s="123"/>
      <c r="T16" s="100"/>
      <c r="U16" s="142">
        <f>U15+1</f>
        <v>9</v>
      </c>
      <c r="V16" s="143">
        <v>0.012960425953961673</v>
      </c>
      <c r="W16" s="148">
        <v>0.01944063893094251</v>
      </c>
      <c r="X16" s="148">
        <v>0.025920851907923346</v>
      </c>
      <c r="Y16" s="148">
        <v>0.03888127786188502</v>
      </c>
      <c r="Z16" s="123"/>
      <c r="AA16" s="100"/>
      <c r="AB16" s="149">
        <f t="shared" si="1"/>
        <v>40000</v>
      </c>
      <c r="AC16" s="143">
        <v>0.020829255997438404</v>
      </c>
      <c r="AD16" s="143">
        <v>0.031243883996157608</v>
      </c>
      <c r="AE16" s="143">
        <v>0.04165851199487681</v>
      </c>
      <c r="AF16" s="143">
        <v>0.062487767992315216</v>
      </c>
    </row>
    <row r="17" ht="13.5" customHeight="1">
      <c r="A17" s="120"/>
      <c r="B17" s="125" t="s">
        <v>87</v>
      </c>
      <c r="C17" s="153">
        <f>SUM(TAM!E9:E12)</f>
        <v>131291.9374</v>
      </c>
      <c r="D17" s="123" t="s">
        <v>88</v>
      </c>
      <c r="E17" s="123"/>
      <c r="F17" s="100"/>
      <c r="G17" s="142">
        <f>G15+2</f>
        <v>9</v>
      </c>
      <c r="H17" s="143">
        <v>0.015939689165551652</v>
      </c>
      <c r="I17" s="143">
        <v>0.023909533748327477</v>
      </c>
      <c r="J17" s="143">
        <v>0.031879378331103304</v>
      </c>
      <c r="K17" s="143">
        <v>0.04781906749665495</v>
      </c>
      <c r="L17" s="120"/>
      <c r="M17" s="100"/>
      <c r="N17" s="149">
        <f>12*550</f>
        <v>6600</v>
      </c>
      <c r="O17" s="143">
        <v>0.15525671265147714</v>
      </c>
      <c r="P17" s="143">
        <v>0.2328850689772157</v>
      </c>
      <c r="Q17" s="143">
        <v>0.3105134253029543</v>
      </c>
      <c r="R17" s="143">
        <v>0.4657701379544314</v>
      </c>
      <c r="S17" s="120"/>
      <c r="T17" s="100"/>
      <c r="U17" s="142">
        <f>U15+2</f>
        <v>10</v>
      </c>
      <c r="V17" s="143">
        <v>0.011664383358565506</v>
      </c>
      <c r="W17" s="143">
        <v>0.01749657503784826</v>
      </c>
      <c r="X17" s="143">
        <v>0.02332876671713101</v>
      </c>
      <c r="Y17" s="143">
        <v>0.03499315007569652</v>
      </c>
      <c r="Z17" s="120"/>
      <c r="AA17" s="100"/>
      <c r="AB17" s="149">
        <f t="shared" si="1"/>
        <v>45000</v>
      </c>
      <c r="AC17" s="143">
        <v>0.01851489421994525</v>
      </c>
      <c r="AD17" s="143">
        <v>0.027772341329917873</v>
      </c>
      <c r="AE17" s="143">
        <v>0.0370297884398905</v>
      </c>
      <c r="AF17" s="143">
        <v>0.05554468265983575</v>
      </c>
    </row>
    <row r="18" ht="13.5" customHeight="1">
      <c r="A18" s="120"/>
      <c r="B18" s="137" t="s">
        <v>89</v>
      </c>
      <c r="C18" s="154">
        <f>C15/C17</f>
        <v>0.04098777214</v>
      </c>
      <c r="D18" s="120"/>
      <c r="E18" s="120"/>
      <c r="F18" s="120"/>
      <c r="G18" s="133"/>
      <c r="H18" s="133"/>
      <c r="I18" s="133"/>
      <c r="J18" s="133"/>
      <c r="K18" s="133"/>
      <c r="L18" s="120"/>
      <c r="M18" s="120"/>
      <c r="N18" s="133"/>
      <c r="O18" s="133"/>
      <c r="P18" s="133"/>
      <c r="Q18" s="133"/>
      <c r="R18" s="133"/>
      <c r="S18" s="120"/>
      <c r="T18" s="120"/>
      <c r="U18" s="133"/>
      <c r="V18" s="133"/>
      <c r="W18" s="133"/>
      <c r="X18" s="133"/>
      <c r="Y18" s="133"/>
      <c r="Z18" s="120"/>
      <c r="AA18" s="120"/>
      <c r="AB18" s="133"/>
      <c r="AC18" s="133"/>
      <c r="AD18" s="133"/>
      <c r="AE18" s="133"/>
      <c r="AF18" s="133"/>
    </row>
    <row r="19" ht="12.75" customHeight="1">
      <c r="A19" s="120"/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</row>
    <row r="20" ht="13.5" customHeight="1">
      <c r="A20" s="120"/>
      <c r="B20" s="155" t="s">
        <v>90</v>
      </c>
      <c r="C20" s="120"/>
      <c r="D20" s="120"/>
      <c r="E20" s="120"/>
      <c r="F20" s="120"/>
      <c r="G20" s="93" t="s">
        <v>91</v>
      </c>
      <c r="H20" s="3"/>
      <c r="I20" s="3"/>
      <c r="J20" s="3"/>
      <c r="K20" s="4"/>
      <c r="L20" s="120"/>
      <c r="M20" s="120"/>
      <c r="N20" s="93" t="s">
        <v>91</v>
      </c>
      <c r="O20" s="3"/>
      <c r="P20" s="3"/>
      <c r="Q20" s="3"/>
      <c r="R20" s="4"/>
      <c r="S20" s="120"/>
      <c r="T20" s="120"/>
      <c r="U20" s="105"/>
      <c r="Z20" s="120"/>
      <c r="AA20" s="120"/>
      <c r="AB20" s="105"/>
    </row>
    <row r="21" ht="13.5" customHeight="1">
      <c r="A21" s="120"/>
      <c r="B21" s="156" t="s">
        <v>92</v>
      </c>
      <c r="C21" s="157">
        <f>C17</f>
        <v>131291.9374</v>
      </c>
      <c r="D21" s="120"/>
      <c r="E21" s="120"/>
      <c r="F21" s="120"/>
      <c r="G21" s="136" t="s">
        <v>70</v>
      </c>
      <c r="L21" s="120"/>
      <c r="M21" s="120"/>
      <c r="N21" s="136" t="s">
        <v>70</v>
      </c>
      <c r="S21" s="120"/>
      <c r="T21" s="120"/>
      <c r="U21" s="136"/>
      <c r="Z21" s="120"/>
      <c r="AA21" s="120"/>
      <c r="AB21" s="136"/>
    </row>
    <row r="22" ht="13.5" customHeight="1">
      <c r="A22" s="120"/>
      <c r="B22" s="158" t="s">
        <v>93</v>
      </c>
      <c r="C22" s="159">
        <v>0.03</v>
      </c>
      <c r="D22" s="123" t="s">
        <v>94</v>
      </c>
      <c r="E22" s="120"/>
      <c r="F22" s="120"/>
      <c r="G22" s="160">
        <f>C12</f>
        <v>269068200.8</v>
      </c>
      <c r="H22" s="140">
        <v>0.5</v>
      </c>
      <c r="I22" s="140">
        <v>0.75</v>
      </c>
      <c r="J22" s="140">
        <v>1.0</v>
      </c>
      <c r="K22" s="140">
        <v>1.5</v>
      </c>
      <c r="L22" s="120"/>
      <c r="M22" s="120"/>
      <c r="N22" s="160">
        <f>C12</f>
        <v>269068200.8</v>
      </c>
      <c r="O22" s="140">
        <v>0.5</v>
      </c>
      <c r="P22" s="140">
        <v>0.75</v>
      </c>
      <c r="Q22" s="140">
        <v>1.0</v>
      </c>
      <c r="R22" s="140">
        <v>1.5</v>
      </c>
      <c r="S22" s="120"/>
      <c r="T22" s="120"/>
      <c r="U22" s="160"/>
      <c r="V22" s="161"/>
      <c r="W22" s="161"/>
      <c r="X22" s="161"/>
      <c r="Y22" s="161"/>
      <c r="Z22" s="120"/>
      <c r="AA22" s="120"/>
      <c r="AB22" s="160"/>
      <c r="AC22" s="161"/>
      <c r="AD22" s="161"/>
      <c r="AE22" s="161"/>
      <c r="AF22" s="161"/>
    </row>
    <row r="23" ht="15.0" customHeight="1">
      <c r="A23" s="120"/>
      <c r="B23" s="158" t="s">
        <v>95</v>
      </c>
      <c r="C23" s="162">
        <f>C21*((C22+1)^7)</f>
        <v>161472.5226</v>
      </c>
      <c r="D23" s="120"/>
      <c r="E23" s="123"/>
      <c r="F23" s="141" t="s">
        <v>82</v>
      </c>
      <c r="G23" s="142">
        <f>G25-2</f>
        <v>5</v>
      </c>
      <c r="H23" s="163">
        <v>1.883477405299037E8</v>
      </c>
      <c r="I23" s="163">
        <v>2.825216107948556E8</v>
      </c>
      <c r="J23" s="163">
        <v>3.766954810598074E8</v>
      </c>
      <c r="K23" s="163">
        <v>5.650432215897112E8</v>
      </c>
      <c r="L23" s="120"/>
      <c r="M23" s="141" t="s">
        <v>84</v>
      </c>
      <c r="N23" s="144">
        <f>C14</f>
        <v>50000</v>
      </c>
      <c r="O23" s="163">
        <v>1.3453410037850267E8</v>
      </c>
      <c r="P23" s="164">
        <v>2.01801150567754E8</v>
      </c>
      <c r="Q23" s="165">
        <v>2.6906820075700533E8</v>
      </c>
      <c r="R23" s="164">
        <v>4.03602301135508E8</v>
      </c>
      <c r="S23" s="120"/>
      <c r="T23" s="166"/>
      <c r="U23" s="167"/>
      <c r="V23" s="163"/>
      <c r="W23" s="163"/>
      <c r="X23" s="163"/>
      <c r="Y23" s="163"/>
      <c r="Z23" s="120"/>
      <c r="AA23" s="166"/>
      <c r="AB23" s="168"/>
      <c r="AC23" s="163"/>
      <c r="AD23" s="163"/>
      <c r="AE23" s="169"/>
      <c r="AF23" s="163"/>
    </row>
    <row r="24" ht="13.5" customHeight="1">
      <c r="A24" s="120"/>
      <c r="B24" s="170" t="s">
        <v>96</v>
      </c>
      <c r="C24" s="171">
        <f>C15/C23</f>
        <v>0.0333268096</v>
      </c>
      <c r="D24" s="120"/>
      <c r="E24" s="120"/>
      <c r="F24" s="100"/>
      <c r="G24" s="142">
        <f>G25-1</f>
        <v>6</v>
      </c>
      <c r="H24" s="163">
        <v>1.5695645044158643E8</v>
      </c>
      <c r="I24" s="164">
        <v>2.3543467566237965E8</v>
      </c>
      <c r="J24" s="164">
        <v>3.1391290088317287E8</v>
      </c>
      <c r="K24" s="164">
        <v>4.708693513247593E8</v>
      </c>
      <c r="L24" s="120"/>
      <c r="M24" s="100"/>
      <c r="N24" s="149">
        <f>12*400</f>
        <v>4800</v>
      </c>
      <c r="O24" s="163">
        <v>1.3453410037850267E8</v>
      </c>
      <c r="P24" s="164">
        <v>2.01801150567754E8</v>
      </c>
      <c r="Q24" s="164">
        <v>2.6906820075700533E8</v>
      </c>
      <c r="R24" s="164">
        <v>4.03602301135508E8</v>
      </c>
      <c r="S24" s="120"/>
      <c r="U24" s="167"/>
      <c r="V24" s="163"/>
      <c r="W24" s="163"/>
      <c r="X24" s="163"/>
      <c r="Y24" s="163"/>
      <c r="Z24" s="120"/>
      <c r="AB24" s="172"/>
      <c r="AC24" s="163"/>
      <c r="AD24" s="163"/>
      <c r="AE24" s="163"/>
      <c r="AF24" s="163"/>
    </row>
    <row r="25" ht="13.5" customHeight="1">
      <c r="A25" s="120"/>
      <c r="B25" s="120"/>
      <c r="C25" s="120"/>
      <c r="D25" s="120"/>
      <c r="E25" s="120"/>
      <c r="F25" s="100"/>
      <c r="G25" s="151">
        <v>7.0</v>
      </c>
      <c r="H25" s="163">
        <v>1.3453410037850267E8</v>
      </c>
      <c r="I25" s="164">
        <v>2.01801150567754E8</v>
      </c>
      <c r="J25" s="165">
        <v>2.6906820075700533E8</v>
      </c>
      <c r="K25" s="164">
        <v>4.03602301135508E8</v>
      </c>
      <c r="L25" s="120"/>
      <c r="M25" s="100"/>
      <c r="N25" s="149">
        <f>12*450</f>
        <v>5400</v>
      </c>
      <c r="O25" s="163">
        <v>1.3453410037850267E8</v>
      </c>
      <c r="P25" s="163">
        <v>2.01801150567754E8</v>
      </c>
      <c r="Q25" s="163">
        <v>2.6906820075700533E8</v>
      </c>
      <c r="R25" s="163">
        <v>4.03602301135508E8</v>
      </c>
      <c r="S25" s="120"/>
      <c r="U25" s="173"/>
      <c r="V25" s="163"/>
      <c r="W25" s="163"/>
      <c r="X25" s="169"/>
      <c r="Y25" s="163"/>
      <c r="Z25" s="120"/>
      <c r="AB25" s="172"/>
      <c r="AC25" s="163"/>
      <c r="AD25" s="163"/>
      <c r="AE25" s="163"/>
      <c r="AF25" s="163"/>
    </row>
    <row r="26" ht="13.5" customHeight="1">
      <c r="A26" s="120"/>
      <c r="B26" s="120"/>
      <c r="C26" s="120"/>
      <c r="D26" s="120"/>
      <c r="E26" s="123"/>
      <c r="F26" s="100"/>
      <c r="G26" s="142">
        <f>G25+1</f>
        <v>8</v>
      </c>
      <c r="H26" s="163">
        <v>1.1771733783118983E8</v>
      </c>
      <c r="I26" s="164">
        <v>1.7657600674678475E8</v>
      </c>
      <c r="J26" s="164">
        <v>2.3543467566237965E8</v>
      </c>
      <c r="K26" s="164">
        <v>3.531520134935695E8</v>
      </c>
      <c r="L26" s="120"/>
      <c r="M26" s="100"/>
      <c r="N26" s="149">
        <f>12*500</f>
        <v>6000</v>
      </c>
      <c r="O26" s="163">
        <v>1.3453410037850267E8</v>
      </c>
      <c r="P26" s="163">
        <v>2.01801150567754E8</v>
      </c>
      <c r="Q26" s="163">
        <v>2.6906820075700533E8</v>
      </c>
      <c r="R26" s="163">
        <v>4.03602301135508E8</v>
      </c>
      <c r="S26" s="120"/>
      <c r="U26" s="167"/>
      <c r="V26" s="163"/>
      <c r="W26" s="163"/>
      <c r="X26" s="163"/>
      <c r="Y26" s="163"/>
      <c r="Z26" s="120"/>
      <c r="AB26" s="172"/>
      <c r="AC26" s="163"/>
      <c r="AD26" s="163"/>
      <c r="AE26" s="163"/>
      <c r="AF26" s="163"/>
    </row>
    <row r="27" ht="13.5" customHeight="1">
      <c r="A27" s="120"/>
      <c r="B27" s="120"/>
      <c r="C27" s="120"/>
      <c r="D27" s="120"/>
      <c r="E27" s="120"/>
      <c r="F27" s="100"/>
      <c r="G27" s="142">
        <f>G25+2</f>
        <v>9</v>
      </c>
      <c r="H27" s="163">
        <v>1.0463763362772429E8</v>
      </c>
      <c r="I27" s="163">
        <v>1.5695645044158643E8</v>
      </c>
      <c r="J27" s="163">
        <v>2.0927526725544858E8</v>
      </c>
      <c r="K27" s="163">
        <v>3.1391290088317287E8</v>
      </c>
      <c r="L27" s="120"/>
      <c r="M27" s="100"/>
      <c r="N27" s="149">
        <f>12*550</f>
        <v>6600</v>
      </c>
      <c r="O27" s="163">
        <v>1.3453410037850267E8</v>
      </c>
      <c r="P27" s="163">
        <v>2.01801150567754E8</v>
      </c>
      <c r="Q27" s="163">
        <v>2.6906820075700533E8</v>
      </c>
      <c r="R27" s="163">
        <v>4.03602301135508E8</v>
      </c>
      <c r="S27" s="120"/>
      <c r="U27" s="167"/>
      <c r="V27" s="163"/>
      <c r="W27" s="163"/>
      <c r="X27" s="163"/>
      <c r="Y27" s="163"/>
      <c r="Z27" s="120"/>
      <c r="AB27" s="172"/>
      <c r="AC27" s="163"/>
      <c r="AD27" s="163"/>
      <c r="AE27" s="163"/>
      <c r="AF27" s="163"/>
    </row>
    <row r="28" ht="13.5" customHeight="1">
      <c r="A28" s="120"/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</row>
    <row r="29" ht="13.5" customHeight="1">
      <c r="A29" s="120"/>
      <c r="B29" s="120"/>
      <c r="C29" s="120"/>
      <c r="D29" s="120"/>
      <c r="E29" s="120"/>
      <c r="F29" s="120"/>
      <c r="G29" s="93" t="s">
        <v>97</v>
      </c>
      <c r="H29" s="3"/>
      <c r="I29" s="3"/>
      <c r="J29" s="3"/>
      <c r="K29" s="4"/>
      <c r="L29" s="120"/>
      <c r="M29" s="120"/>
      <c r="N29" s="93" t="s">
        <v>97</v>
      </c>
      <c r="O29" s="3"/>
      <c r="P29" s="3"/>
      <c r="Q29" s="3"/>
      <c r="R29" s="4"/>
      <c r="S29" s="120"/>
      <c r="T29" s="120"/>
      <c r="U29" s="105"/>
      <c r="Z29" s="120"/>
      <c r="AA29" s="120"/>
      <c r="AB29" s="105"/>
    </row>
    <row r="30" ht="13.5" customHeight="1">
      <c r="A30" s="120"/>
      <c r="B30" s="120"/>
      <c r="C30" s="120"/>
      <c r="D30" s="120"/>
      <c r="E30" s="120"/>
      <c r="F30" s="120"/>
      <c r="G30" s="136" t="s">
        <v>70</v>
      </c>
      <c r="L30" s="120"/>
      <c r="M30" s="120"/>
      <c r="N30" s="136" t="s">
        <v>70</v>
      </c>
      <c r="S30" s="120"/>
      <c r="T30" s="120"/>
      <c r="U30" s="136"/>
      <c r="Z30" s="120"/>
      <c r="AA30" s="120"/>
      <c r="AB30" s="136"/>
    </row>
    <row r="31" ht="13.5" customHeight="1">
      <c r="A31" s="120"/>
      <c r="B31" s="120"/>
      <c r="C31" s="120"/>
      <c r="D31" s="120"/>
      <c r="E31" s="120"/>
      <c r="F31" s="120"/>
      <c r="G31" s="160">
        <f>C15</f>
        <v>5381.364015</v>
      </c>
      <c r="H31" s="140">
        <v>0.5</v>
      </c>
      <c r="I31" s="140">
        <v>0.75</v>
      </c>
      <c r="J31" s="140">
        <v>1.0</v>
      </c>
      <c r="K31" s="140">
        <v>1.5</v>
      </c>
      <c r="L31" s="120"/>
      <c r="M31" s="120"/>
      <c r="N31" s="160">
        <f>C15</f>
        <v>5381.364015</v>
      </c>
      <c r="O31" s="140">
        <v>0.5</v>
      </c>
      <c r="P31" s="140">
        <v>0.75</v>
      </c>
      <c r="Q31" s="140">
        <v>1.0</v>
      </c>
      <c r="R31" s="140">
        <v>1.5</v>
      </c>
      <c r="S31" s="120"/>
      <c r="T31" s="120"/>
      <c r="U31" s="160"/>
      <c r="V31" s="161"/>
      <c r="W31" s="161"/>
      <c r="X31" s="161"/>
      <c r="Y31" s="161"/>
      <c r="Z31" s="120"/>
      <c r="AA31" s="120"/>
      <c r="AB31" s="160"/>
      <c r="AC31" s="161"/>
      <c r="AD31" s="161"/>
      <c r="AE31" s="161"/>
      <c r="AF31" s="161"/>
    </row>
    <row r="32" ht="14.25" customHeight="1">
      <c r="A32" s="120"/>
      <c r="B32" s="120"/>
      <c r="C32" s="120"/>
      <c r="D32" s="120"/>
      <c r="E32" s="120"/>
      <c r="F32" s="141" t="s">
        <v>82</v>
      </c>
      <c r="G32" s="142">
        <f>G34-2</f>
        <v>5</v>
      </c>
      <c r="H32" s="174">
        <v>3766.9548105980743</v>
      </c>
      <c r="I32" s="174">
        <v>5650.432215897112</v>
      </c>
      <c r="J32" s="174">
        <v>7533.909621196149</v>
      </c>
      <c r="K32" s="174">
        <v>11300.864431794223</v>
      </c>
      <c r="L32" s="120"/>
      <c r="M32" s="141" t="s">
        <v>84</v>
      </c>
      <c r="N32" s="144">
        <f>C14</f>
        <v>50000</v>
      </c>
      <c r="O32" s="174">
        <v>2690.6820075700534</v>
      </c>
      <c r="P32" s="175">
        <v>4036.02301135508</v>
      </c>
      <c r="Q32" s="176">
        <v>5381.364015140107</v>
      </c>
      <c r="R32" s="175">
        <v>8072.04602271016</v>
      </c>
      <c r="S32" s="120"/>
      <c r="T32" s="166"/>
      <c r="U32" s="167"/>
      <c r="V32" s="174"/>
      <c r="W32" s="174"/>
      <c r="X32" s="174"/>
      <c r="Y32" s="174"/>
      <c r="Z32" s="120"/>
      <c r="AA32" s="166"/>
      <c r="AB32" s="168"/>
      <c r="AC32" s="174"/>
      <c r="AD32" s="174"/>
      <c r="AE32" s="177"/>
      <c r="AF32" s="174"/>
    </row>
    <row r="33" ht="13.5" customHeight="1">
      <c r="A33" s="120"/>
      <c r="B33" s="120"/>
      <c r="C33" s="120"/>
      <c r="D33" s="120"/>
      <c r="E33" s="120"/>
      <c r="F33" s="100"/>
      <c r="G33" s="142">
        <f>G34-1</f>
        <v>6</v>
      </c>
      <c r="H33" s="174">
        <v>3139.1290088317287</v>
      </c>
      <c r="I33" s="175">
        <v>4708.693513247593</v>
      </c>
      <c r="J33" s="175">
        <v>6278.258017663457</v>
      </c>
      <c r="K33" s="175">
        <v>9417.387026495186</v>
      </c>
      <c r="L33" s="120"/>
      <c r="M33" s="100"/>
      <c r="N33" s="149">
        <f>12*400</f>
        <v>4800</v>
      </c>
      <c r="O33" s="174">
        <v>28027.937578854722</v>
      </c>
      <c r="P33" s="175">
        <v>42041.906368282085</v>
      </c>
      <c r="Q33" s="175">
        <v>56055.875157709444</v>
      </c>
      <c r="R33" s="175">
        <v>84083.81273656417</v>
      </c>
      <c r="S33" s="120"/>
      <c r="U33" s="167"/>
      <c r="V33" s="174"/>
      <c r="W33" s="174"/>
      <c r="X33" s="174"/>
      <c r="Y33" s="174"/>
      <c r="Z33" s="120"/>
      <c r="AB33" s="172"/>
      <c r="AC33" s="174"/>
      <c r="AD33" s="174"/>
      <c r="AE33" s="174"/>
      <c r="AF33" s="174"/>
    </row>
    <row r="34" ht="13.5" customHeight="1">
      <c r="A34" s="120"/>
      <c r="B34" s="120"/>
      <c r="C34" s="120"/>
      <c r="D34" s="120"/>
      <c r="E34" s="120"/>
      <c r="F34" s="100"/>
      <c r="G34" s="151">
        <v>7.0</v>
      </c>
      <c r="H34" s="174">
        <v>2690.6820075700534</v>
      </c>
      <c r="I34" s="175">
        <v>4036.02301135508</v>
      </c>
      <c r="J34" s="176">
        <v>5381.364015140107</v>
      </c>
      <c r="K34" s="175">
        <v>8072.04602271016</v>
      </c>
      <c r="L34" s="120"/>
      <c r="M34" s="100"/>
      <c r="N34" s="149">
        <f>12*450</f>
        <v>5400</v>
      </c>
      <c r="O34" s="174">
        <v>24913.72229231531</v>
      </c>
      <c r="P34" s="174">
        <v>37370.58343847296</v>
      </c>
      <c r="Q34" s="174">
        <v>49827.44458463062</v>
      </c>
      <c r="R34" s="174">
        <v>74741.16687694592</v>
      </c>
      <c r="S34" s="120"/>
      <c r="U34" s="173"/>
      <c r="V34" s="174"/>
      <c r="W34" s="174"/>
      <c r="X34" s="177"/>
      <c r="Y34" s="174"/>
      <c r="Z34" s="120"/>
      <c r="AB34" s="172"/>
      <c r="AC34" s="174"/>
      <c r="AD34" s="174"/>
      <c r="AE34" s="174"/>
      <c r="AF34" s="174"/>
    </row>
    <row r="35" ht="13.5" customHeight="1">
      <c r="A35" s="120"/>
      <c r="B35" s="120"/>
      <c r="C35" s="120"/>
      <c r="D35" s="120"/>
      <c r="E35" s="120"/>
      <c r="F35" s="100"/>
      <c r="G35" s="142">
        <f>G34+1</f>
        <v>8</v>
      </c>
      <c r="H35" s="174">
        <v>2354.3467566237964</v>
      </c>
      <c r="I35" s="175">
        <v>3531.520134935695</v>
      </c>
      <c r="J35" s="175">
        <v>4708.693513247593</v>
      </c>
      <c r="K35" s="175">
        <v>7063.04026987139</v>
      </c>
      <c r="L35" s="120"/>
      <c r="M35" s="100"/>
      <c r="N35" s="149">
        <f>12*500</f>
        <v>6000</v>
      </c>
      <c r="O35" s="174">
        <v>22422.350063083777</v>
      </c>
      <c r="P35" s="174">
        <v>33633.525094625664</v>
      </c>
      <c r="Q35" s="174">
        <v>44844.700126167554</v>
      </c>
      <c r="R35" s="174">
        <v>67267.05018925133</v>
      </c>
      <c r="S35" s="120"/>
      <c r="U35" s="167"/>
      <c r="V35" s="174"/>
      <c r="W35" s="174"/>
      <c r="X35" s="174"/>
      <c r="Y35" s="174"/>
      <c r="Z35" s="120"/>
      <c r="AB35" s="172"/>
      <c r="AC35" s="174"/>
      <c r="AD35" s="174"/>
      <c r="AE35" s="174"/>
      <c r="AF35" s="174"/>
    </row>
    <row r="36" ht="13.5" customHeight="1">
      <c r="A36" s="120"/>
      <c r="B36" s="120"/>
      <c r="C36" s="120"/>
      <c r="D36" s="120"/>
      <c r="E36" s="120"/>
      <c r="F36" s="100"/>
      <c r="G36" s="142">
        <f>G34+2</f>
        <v>9</v>
      </c>
      <c r="H36" s="174">
        <v>2092.752672554486</v>
      </c>
      <c r="I36" s="174">
        <v>3139.1290088317287</v>
      </c>
      <c r="J36" s="174">
        <v>4185.505345108972</v>
      </c>
      <c r="K36" s="174">
        <v>6278.258017663457</v>
      </c>
      <c r="L36" s="120"/>
      <c r="M36" s="100"/>
      <c r="N36" s="149">
        <f>12*550</f>
        <v>6600</v>
      </c>
      <c r="O36" s="174">
        <v>20383.954602803435</v>
      </c>
      <c r="P36" s="174">
        <v>30575.93190420515</v>
      </c>
      <c r="Q36" s="174">
        <v>40767.90920560687</v>
      </c>
      <c r="R36" s="174">
        <v>61151.8638084103</v>
      </c>
      <c r="S36" s="120"/>
      <c r="U36" s="167"/>
      <c r="V36" s="174"/>
      <c r="W36" s="174"/>
      <c r="X36" s="174"/>
      <c r="Y36" s="174"/>
      <c r="Z36" s="120"/>
      <c r="AB36" s="172"/>
      <c r="AC36" s="174"/>
      <c r="AD36" s="174"/>
      <c r="AE36" s="174"/>
      <c r="AF36" s="174"/>
    </row>
    <row r="37" ht="13.5" customHeight="1">
      <c r="A37" s="120"/>
      <c r="B37" s="120"/>
      <c r="C37" s="120"/>
      <c r="D37" s="120"/>
      <c r="E37" s="120"/>
      <c r="F37" s="120"/>
      <c r="G37" s="120"/>
      <c r="H37" s="178"/>
      <c r="I37" s="120"/>
      <c r="J37" s="120"/>
      <c r="K37" s="120"/>
      <c r="L37" s="120"/>
      <c r="M37" s="120"/>
      <c r="N37" s="120"/>
      <c r="O37" s="178"/>
      <c r="P37" s="120"/>
      <c r="Q37" s="120"/>
      <c r="R37" s="120"/>
      <c r="S37" s="120"/>
      <c r="T37" s="120"/>
      <c r="U37" s="120"/>
      <c r="V37" s="178"/>
      <c r="W37" s="120"/>
      <c r="X37" s="120"/>
      <c r="Y37" s="120"/>
      <c r="Z37" s="120"/>
      <c r="AA37" s="120"/>
      <c r="AB37" s="120"/>
      <c r="AC37" s="178"/>
      <c r="AD37" s="120"/>
      <c r="AE37" s="120"/>
      <c r="AF37" s="120"/>
    </row>
    <row r="38" ht="13.5" customHeight="1">
      <c r="A38" s="120"/>
      <c r="B38" s="120"/>
      <c r="C38" s="120"/>
      <c r="D38" s="120"/>
      <c r="E38" s="120"/>
      <c r="F38" s="120"/>
      <c r="G38" s="120"/>
      <c r="H38" s="178"/>
      <c r="I38" s="120"/>
      <c r="J38" s="120"/>
      <c r="K38" s="120"/>
      <c r="L38" s="120"/>
      <c r="M38" s="120"/>
      <c r="N38" s="120"/>
      <c r="O38" s="178"/>
      <c r="P38" s="120"/>
      <c r="Q38" s="120"/>
      <c r="R38" s="120"/>
      <c r="S38" s="120"/>
      <c r="T38" s="120"/>
      <c r="U38" s="120"/>
      <c r="V38" s="178"/>
      <c r="W38" s="120"/>
      <c r="X38" s="120"/>
      <c r="Y38" s="120"/>
      <c r="Z38" s="120"/>
      <c r="AA38" s="120"/>
      <c r="AB38" s="120"/>
      <c r="AC38" s="178"/>
      <c r="AD38" s="120"/>
      <c r="AE38" s="120"/>
      <c r="AF38" s="120"/>
    </row>
    <row r="39" ht="16.5" customHeight="1">
      <c r="A39" s="120"/>
      <c r="B39" s="120"/>
      <c r="C39" s="120"/>
      <c r="D39" s="120"/>
      <c r="E39" s="120"/>
      <c r="F39" s="120"/>
      <c r="G39" s="120"/>
      <c r="H39" s="178"/>
      <c r="I39" s="120"/>
      <c r="J39" s="120"/>
      <c r="K39" s="120"/>
      <c r="L39" s="120"/>
      <c r="M39" s="120"/>
      <c r="N39" s="120"/>
      <c r="O39" s="178"/>
      <c r="P39" s="120"/>
      <c r="Q39" s="120"/>
      <c r="R39" s="120"/>
      <c r="S39" s="120"/>
      <c r="T39" s="120"/>
      <c r="U39" s="120"/>
      <c r="V39" s="178"/>
      <c r="W39" s="120"/>
      <c r="X39" s="120"/>
      <c r="Y39" s="120"/>
      <c r="Z39" s="120"/>
      <c r="AA39" s="120"/>
      <c r="AB39" s="120"/>
      <c r="AC39" s="178"/>
      <c r="AD39" s="120"/>
      <c r="AE39" s="120"/>
      <c r="AF39" s="120"/>
    </row>
    <row r="40" ht="16.5" customHeight="1">
      <c r="A40" s="120"/>
      <c r="B40" s="120"/>
      <c r="C40" s="120"/>
      <c r="D40" s="120"/>
      <c r="E40" s="120"/>
      <c r="F40" s="120"/>
      <c r="G40" s="178"/>
      <c r="H40" s="178"/>
      <c r="I40" s="120"/>
      <c r="J40" s="120"/>
      <c r="K40" s="120"/>
      <c r="L40" s="120"/>
      <c r="M40" s="120"/>
      <c r="N40" s="178"/>
      <c r="O40" s="178"/>
      <c r="P40" s="120"/>
      <c r="Q40" s="120"/>
      <c r="R40" s="120"/>
      <c r="S40" s="120"/>
      <c r="T40" s="120"/>
      <c r="U40" s="178"/>
      <c r="V40" s="178"/>
      <c r="W40" s="120"/>
      <c r="X40" s="120"/>
      <c r="Y40" s="120"/>
      <c r="Z40" s="120"/>
      <c r="AA40" s="120"/>
      <c r="AB40" s="178"/>
      <c r="AC40" s="178"/>
      <c r="AD40" s="120"/>
      <c r="AE40" s="120"/>
      <c r="AF40" s="120"/>
    </row>
    <row r="41" ht="16.5" customHeight="1">
      <c r="A41" s="120"/>
      <c r="B41" s="120"/>
      <c r="C41" s="120"/>
      <c r="D41" s="120"/>
      <c r="E41" s="120"/>
      <c r="F41" s="120"/>
      <c r="G41" s="178"/>
      <c r="H41" s="178"/>
      <c r="I41" s="120"/>
      <c r="J41" s="120"/>
      <c r="K41" s="120"/>
      <c r="L41" s="120"/>
      <c r="M41" s="120"/>
      <c r="N41" s="178"/>
      <c r="O41" s="178"/>
      <c r="P41" s="120"/>
      <c r="Q41" s="120"/>
      <c r="R41" s="120"/>
      <c r="S41" s="120"/>
      <c r="T41" s="120"/>
      <c r="U41" s="178"/>
      <c r="V41" s="178"/>
      <c r="W41" s="120"/>
      <c r="X41" s="120"/>
      <c r="Y41" s="120"/>
      <c r="Z41" s="120"/>
      <c r="AA41" s="120"/>
      <c r="AB41" s="178"/>
      <c r="AC41" s="178"/>
      <c r="AD41" s="120"/>
      <c r="AE41" s="120"/>
      <c r="AF41" s="120"/>
    </row>
    <row r="42" ht="16.5" customHeight="1">
      <c r="A42" s="120"/>
      <c r="B42" s="120"/>
      <c r="C42" s="120"/>
      <c r="D42" s="120"/>
      <c r="E42" s="120"/>
      <c r="F42" s="120"/>
      <c r="G42" s="178"/>
      <c r="H42" s="178"/>
      <c r="I42" s="120"/>
      <c r="J42" s="120"/>
      <c r="K42" s="120"/>
      <c r="L42" s="120"/>
      <c r="M42" s="120"/>
      <c r="N42" s="178"/>
      <c r="O42" s="178"/>
      <c r="P42" s="120"/>
      <c r="Q42" s="120"/>
      <c r="R42" s="120"/>
      <c r="S42" s="120"/>
      <c r="T42" s="120"/>
      <c r="U42" s="178"/>
      <c r="V42" s="178"/>
      <c r="W42" s="120"/>
      <c r="X42" s="120"/>
      <c r="Y42" s="120"/>
      <c r="Z42" s="120"/>
      <c r="AA42" s="120"/>
      <c r="AB42" s="178"/>
      <c r="AC42" s="178"/>
      <c r="AD42" s="120"/>
      <c r="AE42" s="120"/>
      <c r="AF42" s="120"/>
    </row>
    <row r="43" ht="12.75" customHeight="1">
      <c r="A43" s="120"/>
      <c r="B43" s="120"/>
      <c r="C43" s="120"/>
      <c r="D43" s="120"/>
      <c r="E43" s="120"/>
      <c r="F43" s="120"/>
      <c r="G43" s="178"/>
      <c r="H43" s="178"/>
      <c r="I43" s="120"/>
      <c r="J43" s="120"/>
      <c r="K43" s="120"/>
      <c r="L43" s="120"/>
      <c r="M43" s="120"/>
      <c r="N43" s="178"/>
      <c r="O43" s="178"/>
      <c r="P43" s="120"/>
      <c r="Q43" s="120"/>
      <c r="R43" s="120"/>
      <c r="S43" s="120"/>
      <c r="T43" s="120"/>
      <c r="U43" s="178"/>
      <c r="V43" s="178"/>
      <c r="W43" s="120"/>
      <c r="X43" s="120"/>
      <c r="Y43" s="120"/>
      <c r="Z43" s="120"/>
      <c r="AA43" s="120"/>
      <c r="AB43" s="178"/>
      <c r="AC43" s="178"/>
      <c r="AD43" s="120"/>
      <c r="AE43" s="120"/>
      <c r="AF43" s="120"/>
    </row>
    <row r="44" ht="15.0" customHeight="1">
      <c r="A44" s="120"/>
      <c r="B44" s="120"/>
      <c r="C44" s="120"/>
      <c r="D44" s="120"/>
      <c r="E44" s="120"/>
      <c r="F44" s="120"/>
      <c r="G44" s="179"/>
      <c r="H44" s="179"/>
      <c r="I44" s="120"/>
      <c r="J44" s="120"/>
      <c r="K44" s="120"/>
      <c r="L44" s="120"/>
      <c r="M44" s="120"/>
      <c r="N44" s="179"/>
      <c r="O44" s="179"/>
      <c r="P44" s="120"/>
      <c r="Q44" s="120"/>
      <c r="R44" s="120"/>
      <c r="S44" s="120"/>
      <c r="T44" s="120"/>
      <c r="U44" s="179"/>
      <c r="V44" s="179"/>
      <c r="W44" s="120"/>
      <c r="X44" s="120"/>
      <c r="Y44" s="120"/>
      <c r="Z44" s="120"/>
      <c r="AA44" s="120"/>
      <c r="AB44" s="179"/>
      <c r="AC44" s="179"/>
      <c r="AD44" s="120"/>
      <c r="AE44" s="120"/>
      <c r="AF44" s="120"/>
    </row>
    <row r="45" ht="12.75" customHeight="1">
      <c r="A45" s="120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</row>
    <row r="46" ht="14.25" customHeight="1">
      <c r="A46" s="120"/>
      <c r="B46" s="120"/>
      <c r="C46" s="120"/>
      <c r="D46" s="18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</row>
    <row r="47" ht="16.5" customHeight="1">
      <c r="A47" s="120"/>
      <c r="B47" s="120"/>
      <c r="C47" s="120"/>
      <c r="D47" s="155"/>
      <c r="E47" s="120"/>
      <c r="F47" s="120"/>
      <c r="G47" s="155"/>
      <c r="H47" s="155"/>
      <c r="I47" s="120"/>
      <c r="J47" s="120"/>
      <c r="K47" s="120"/>
      <c r="L47" s="120"/>
      <c r="M47" s="120"/>
      <c r="N47" s="155"/>
      <c r="O47" s="155"/>
      <c r="P47" s="120"/>
      <c r="Q47" s="120"/>
      <c r="R47" s="120"/>
      <c r="S47" s="120"/>
      <c r="T47" s="120"/>
      <c r="U47" s="155"/>
      <c r="V47" s="155"/>
      <c r="W47" s="120"/>
      <c r="X47" s="120"/>
      <c r="Y47" s="120"/>
      <c r="Z47" s="120"/>
      <c r="AA47" s="120"/>
      <c r="AB47" s="155"/>
      <c r="AC47" s="155"/>
      <c r="AD47" s="120"/>
      <c r="AE47" s="120"/>
      <c r="AF47" s="120"/>
    </row>
    <row r="48" ht="16.5" customHeight="1">
      <c r="A48" s="120"/>
      <c r="B48" s="120"/>
      <c r="C48" s="120"/>
      <c r="D48" s="120"/>
      <c r="E48" s="181"/>
      <c r="F48" s="182"/>
      <c r="G48" s="120"/>
      <c r="H48" s="120"/>
      <c r="I48" s="120"/>
      <c r="J48" s="120"/>
      <c r="K48" s="120"/>
      <c r="L48" s="120"/>
      <c r="M48" s="182"/>
      <c r="N48" s="120"/>
      <c r="O48" s="120"/>
      <c r="P48" s="120"/>
      <c r="Q48" s="120"/>
      <c r="R48" s="120"/>
      <c r="S48" s="120"/>
      <c r="T48" s="182"/>
      <c r="U48" s="120"/>
      <c r="V48" s="120"/>
      <c r="W48" s="120"/>
      <c r="X48" s="120"/>
      <c r="Y48" s="120"/>
      <c r="Z48" s="120"/>
      <c r="AA48" s="182"/>
      <c r="AB48" s="120"/>
      <c r="AC48" s="120"/>
      <c r="AD48" s="120"/>
      <c r="AE48" s="120"/>
      <c r="AF48" s="120"/>
    </row>
    <row r="49" ht="16.5" customHeight="1">
      <c r="A49" s="120"/>
      <c r="B49" s="120"/>
      <c r="C49" s="120"/>
      <c r="D49" s="120"/>
      <c r="E49" s="181"/>
      <c r="F49" s="183"/>
      <c r="G49" s="120"/>
      <c r="H49" s="120"/>
      <c r="I49" s="120"/>
      <c r="J49" s="120"/>
      <c r="K49" s="120"/>
      <c r="L49" s="120"/>
      <c r="M49" s="183"/>
      <c r="N49" s="120"/>
      <c r="O49" s="120"/>
      <c r="P49" s="120"/>
      <c r="Q49" s="120"/>
      <c r="R49" s="120"/>
      <c r="S49" s="120"/>
      <c r="T49" s="183"/>
      <c r="U49" s="120"/>
      <c r="V49" s="120"/>
      <c r="W49" s="120"/>
      <c r="X49" s="120"/>
      <c r="Y49" s="120"/>
      <c r="Z49" s="120"/>
      <c r="AA49" s="183"/>
      <c r="AB49" s="120"/>
      <c r="AC49" s="120"/>
      <c r="AD49" s="120"/>
      <c r="AE49" s="120"/>
      <c r="AF49" s="120"/>
    </row>
    <row r="50" ht="16.5" customHeight="1">
      <c r="A50" s="120"/>
      <c r="B50" s="120"/>
      <c r="C50" s="120"/>
      <c r="D50" s="120"/>
      <c r="E50" s="178"/>
      <c r="F50" s="184"/>
      <c r="G50" s="120"/>
      <c r="H50" s="120"/>
      <c r="I50" s="120"/>
      <c r="J50" s="120"/>
      <c r="K50" s="120"/>
      <c r="L50" s="120"/>
      <c r="M50" s="184"/>
      <c r="N50" s="120"/>
      <c r="O50" s="120"/>
      <c r="P50" s="120"/>
      <c r="Q50" s="120"/>
      <c r="R50" s="120"/>
      <c r="S50" s="120"/>
      <c r="T50" s="184"/>
      <c r="U50" s="120"/>
      <c r="V50" s="120"/>
      <c r="W50" s="120"/>
      <c r="X50" s="120"/>
      <c r="Y50" s="120"/>
      <c r="Z50" s="120"/>
      <c r="AA50" s="184"/>
      <c r="AB50" s="120"/>
      <c r="AC50" s="120"/>
      <c r="AD50" s="120"/>
      <c r="AE50" s="120"/>
      <c r="AF50" s="120"/>
    </row>
    <row r="51" ht="16.5" customHeight="1">
      <c r="A51" s="120"/>
      <c r="B51" s="120"/>
      <c r="C51" s="120"/>
      <c r="D51" s="120"/>
      <c r="E51" s="182"/>
      <c r="F51" s="184"/>
      <c r="G51" s="120"/>
      <c r="H51" s="120"/>
      <c r="I51" s="120"/>
      <c r="J51" s="120"/>
      <c r="K51" s="120"/>
      <c r="L51" s="120"/>
      <c r="M51" s="184"/>
      <c r="N51" s="120"/>
      <c r="O51" s="120"/>
      <c r="P51" s="120"/>
      <c r="Q51" s="120"/>
      <c r="R51" s="120"/>
      <c r="S51" s="120"/>
      <c r="T51" s="184"/>
      <c r="U51" s="120"/>
      <c r="V51" s="120"/>
      <c r="W51" s="120"/>
      <c r="X51" s="120"/>
      <c r="Y51" s="120"/>
      <c r="Z51" s="120"/>
      <c r="AA51" s="184"/>
      <c r="AB51" s="120"/>
      <c r="AC51" s="120"/>
      <c r="AD51" s="120"/>
      <c r="AE51" s="120"/>
      <c r="AF51" s="120"/>
    </row>
    <row r="52" ht="12.75" customHeight="1">
      <c r="A52" s="120"/>
      <c r="B52" s="120"/>
      <c r="C52" s="120"/>
      <c r="D52" s="120"/>
      <c r="E52" s="182"/>
      <c r="F52" s="184"/>
      <c r="G52" s="120"/>
      <c r="H52" s="120"/>
      <c r="I52" s="120"/>
      <c r="J52" s="120"/>
      <c r="K52" s="120"/>
      <c r="L52" s="120"/>
      <c r="M52" s="184"/>
      <c r="N52" s="120"/>
      <c r="O52" s="120"/>
      <c r="P52" s="120"/>
      <c r="Q52" s="120"/>
      <c r="R52" s="120"/>
      <c r="S52" s="120"/>
      <c r="T52" s="184"/>
      <c r="U52" s="120"/>
      <c r="V52" s="120"/>
      <c r="W52" s="120"/>
      <c r="X52" s="120"/>
      <c r="Y52" s="120"/>
      <c r="Z52" s="120"/>
      <c r="AA52" s="184"/>
      <c r="AB52" s="120"/>
      <c r="AC52" s="120"/>
      <c r="AD52" s="120"/>
      <c r="AE52" s="120"/>
      <c r="AF52" s="120"/>
    </row>
    <row r="53" ht="12.75" customHeight="1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</row>
    <row r="54" ht="12.75" customHeight="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</row>
    <row r="55" ht="12.75" customHeight="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</row>
    <row r="56" ht="12.75" customHeight="1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</row>
    <row r="57" ht="12.75" customHeight="1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</row>
    <row r="58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</row>
    <row r="59" ht="12.75" customHeight="1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  <c r="AE59" s="120"/>
      <c r="AF59" s="120"/>
    </row>
    <row r="60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</row>
    <row r="61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  <c r="AE61" s="120"/>
      <c r="AF61" s="120"/>
    </row>
    <row r="62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</row>
    <row r="63" ht="12.75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</row>
    <row r="64" ht="12.75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</row>
    <row r="65" ht="12.75" customHeight="1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</row>
    <row r="66" ht="12.75" customHeight="1">
      <c r="A66" s="120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20"/>
      <c r="AB66" s="120"/>
      <c r="AC66" s="120"/>
      <c r="AD66" s="120"/>
      <c r="AE66" s="120"/>
      <c r="AF66" s="120"/>
    </row>
    <row r="67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  <c r="AC67" s="120"/>
      <c r="AD67" s="120"/>
      <c r="AE67" s="120"/>
      <c r="AF67" s="120"/>
    </row>
    <row r="68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20"/>
      <c r="AB68" s="120"/>
      <c r="AC68" s="120"/>
      <c r="AD68" s="120"/>
      <c r="AE68" s="120"/>
      <c r="AF68" s="120"/>
    </row>
    <row r="6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  <c r="AE69" s="120"/>
      <c r="AF69" s="120"/>
    </row>
    <row r="70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20"/>
      <c r="AB70" s="120"/>
      <c r="AC70" s="120"/>
      <c r="AD70" s="120"/>
      <c r="AE70" s="120"/>
      <c r="AF70" s="120"/>
    </row>
    <row r="71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120"/>
      <c r="AD71" s="120"/>
      <c r="AE71" s="120"/>
      <c r="AF71" s="120"/>
    </row>
    <row r="72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20"/>
      <c r="AB72" s="120"/>
      <c r="AC72" s="120"/>
      <c r="AD72" s="120"/>
      <c r="AE72" s="120"/>
      <c r="AF72" s="120"/>
    </row>
    <row r="73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  <c r="AE73" s="120"/>
      <c r="AF73" s="120"/>
    </row>
    <row r="74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20"/>
      <c r="AB74" s="120"/>
      <c r="AC74" s="120"/>
      <c r="AD74" s="120"/>
      <c r="AE74" s="120"/>
      <c r="AF74" s="120"/>
    </row>
    <row r="75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</row>
    <row r="76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  <c r="AC76" s="120"/>
      <c r="AD76" s="120"/>
      <c r="AE76" s="120"/>
      <c r="AF76" s="120"/>
    </row>
    <row r="77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/>
      <c r="AC77" s="120"/>
      <c r="AD77" s="120"/>
      <c r="AE77" s="120"/>
      <c r="AF77" s="120"/>
    </row>
    <row r="78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</row>
    <row r="7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</row>
    <row r="80" ht="12.75" customHeight="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/>
      <c r="AC80" s="120"/>
      <c r="AD80" s="120"/>
      <c r="AE80" s="120"/>
      <c r="AF80" s="120"/>
    </row>
    <row r="81" ht="12.75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20"/>
      <c r="AB81" s="120"/>
      <c r="AC81" s="120"/>
      <c r="AD81" s="120"/>
      <c r="AE81" s="120"/>
      <c r="AF81" s="120"/>
    </row>
    <row r="82" ht="12.75" customHeight="1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  <c r="AC82" s="120"/>
      <c r="AD82" s="120"/>
      <c r="AE82" s="120"/>
      <c r="AF82" s="120"/>
    </row>
    <row r="83" ht="12.75" customHeight="1">
      <c r="A83" s="120"/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</row>
    <row r="84" ht="12.75" customHeight="1">
      <c r="A84" s="120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</row>
    <row r="85" ht="12.75" customHeight="1">
      <c r="A85" s="120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/>
      <c r="AC85" s="120"/>
      <c r="AD85" s="120"/>
      <c r="AE85" s="120"/>
      <c r="AF85" s="120"/>
    </row>
    <row r="86" ht="12.75" customHeight="1">
      <c r="A86" s="120"/>
      <c r="B86" s="120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/>
      <c r="AC86" s="120"/>
      <c r="AD86" s="120"/>
      <c r="AE86" s="120"/>
      <c r="AF86" s="120"/>
    </row>
    <row r="87" ht="12.75" customHeight="1">
      <c r="A87" s="120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  <c r="AA87" s="120"/>
      <c r="AB87" s="120"/>
      <c r="AC87" s="120"/>
      <c r="AD87" s="120"/>
      <c r="AE87" s="120"/>
      <c r="AF87" s="120"/>
    </row>
    <row r="88" ht="12.75" customHeight="1">
      <c r="A88" s="120"/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  <c r="AE88" s="120"/>
      <c r="AF88" s="120"/>
    </row>
    <row r="89" ht="12.75" customHeight="1">
      <c r="A89" s="120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  <c r="AA89" s="120"/>
      <c r="AB89" s="120"/>
      <c r="AC89" s="120"/>
      <c r="AD89" s="120"/>
      <c r="AE89" s="120"/>
      <c r="AF89" s="120"/>
    </row>
    <row r="90" ht="12.75" customHeight="1">
      <c r="A90" s="120"/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  <c r="AA90" s="120"/>
      <c r="AB90" s="120"/>
      <c r="AC90" s="120"/>
      <c r="AD90" s="120"/>
      <c r="AE90" s="120"/>
      <c r="AF90" s="120"/>
    </row>
    <row r="91" ht="12.75" customHeight="1">
      <c r="A91" s="120"/>
      <c r="B91" s="120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20"/>
      <c r="AC91" s="120"/>
      <c r="AD91" s="120"/>
      <c r="AE91" s="120"/>
      <c r="AF91" s="120"/>
    </row>
    <row r="92" ht="12.75" customHeight="1">
      <c r="A92" s="120"/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  <c r="AA92" s="120"/>
      <c r="AB92" s="120"/>
      <c r="AC92" s="120"/>
      <c r="AD92" s="120"/>
      <c r="AE92" s="120"/>
      <c r="AF92" s="120"/>
    </row>
    <row r="93" ht="12.75" customHeight="1">
      <c r="A93" s="120"/>
      <c r="B93" s="120"/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</row>
    <row r="94" ht="12.75" customHeight="1">
      <c r="A94" s="120"/>
      <c r="B94" s="120"/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  <c r="AA94" s="120"/>
      <c r="AB94" s="120"/>
      <c r="AC94" s="120"/>
      <c r="AD94" s="120"/>
      <c r="AE94" s="120"/>
      <c r="AF94" s="120"/>
    </row>
    <row r="95" ht="12.75" customHeight="1">
      <c r="A95" s="120"/>
      <c r="B95" s="120"/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20"/>
      <c r="AB95" s="120"/>
      <c r="AC95" s="120"/>
      <c r="AD95" s="120"/>
      <c r="AE95" s="120"/>
      <c r="AF95" s="120"/>
    </row>
    <row r="96" ht="12.75" customHeight="1">
      <c r="A96" s="120"/>
      <c r="B96" s="120"/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</row>
    <row r="97" ht="12.75" customHeight="1">
      <c r="A97" s="120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  <c r="AA97" s="120"/>
      <c r="AB97" s="120"/>
      <c r="AC97" s="120"/>
      <c r="AD97" s="120"/>
      <c r="AE97" s="120"/>
      <c r="AF97" s="120"/>
    </row>
    <row r="98" ht="12.75" customHeight="1">
      <c r="A98" s="120"/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  <c r="AA98" s="120"/>
      <c r="AB98" s="120"/>
      <c r="AC98" s="120"/>
      <c r="AD98" s="120"/>
      <c r="AE98" s="120"/>
      <c r="AF98" s="120"/>
    </row>
    <row r="99" ht="12.75" customHeight="1">
      <c r="A99" s="120"/>
      <c r="B99" s="120"/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  <c r="AA99" s="120"/>
      <c r="AB99" s="120"/>
      <c r="AC99" s="120"/>
      <c r="AD99" s="120"/>
      <c r="AE99" s="120"/>
      <c r="AF99" s="120"/>
    </row>
    <row r="100" ht="12.75" customHeight="1">
      <c r="A100" s="120"/>
      <c r="B100" s="120"/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  <c r="AA100" s="120"/>
      <c r="AB100" s="120"/>
      <c r="AC100" s="120"/>
      <c r="AD100" s="120"/>
      <c r="AE100" s="120"/>
      <c r="AF100" s="120"/>
    </row>
    <row r="101" ht="12.75" customHeight="1">
      <c r="A101" s="120"/>
      <c r="B101" s="120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  <c r="AA101" s="120"/>
      <c r="AB101" s="120"/>
      <c r="AC101" s="120"/>
      <c r="AD101" s="120"/>
      <c r="AE101" s="120"/>
      <c r="AF101" s="120"/>
    </row>
    <row r="102" ht="12.75" customHeight="1">
      <c r="A102" s="120"/>
      <c r="B102" s="120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  <c r="AA102" s="120"/>
      <c r="AB102" s="120"/>
      <c r="AC102" s="120"/>
      <c r="AD102" s="120"/>
      <c r="AE102" s="120"/>
      <c r="AF102" s="120"/>
    </row>
    <row r="103" ht="12.75" customHeight="1">
      <c r="A103" s="120"/>
      <c r="B103" s="120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  <c r="AA103" s="120"/>
      <c r="AB103" s="120"/>
      <c r="AC103" s="120"/>
      <c r="AD103" s="120"/>
      <c r="AE103" s="120"/>
      <c r="AF103" s="120"/>
    </row>
    <row r="104" ht="12.75" customHeight="1">
      <c r="A104" s="120"/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  <c r="AA104" s="120"/>
      <c r="AB104" s="120"/>
      <c r="AC104" s="120"/>
      <c r="AD104" s="120"/>
      <c r="AE104" s="120"/>
      <c r="AF104" s="120"/>
    </row>
    <row r="105" ht="12.75" customHeight="1">
      <c r="A105" s="120"/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  <c r="AA105" s="120"/>
      <c r="AB105" s="120"/>
      <c r="AC105" s="120"/>
      <c r="AD105" s="120"/>
      <c r="AE105" s="120"/>
      <c r="AF105" s="120"/>
    </row>
    <row r="106" ht="12.75" customHeight="1">
      <c r="A106" s="120"/>
      <c r="B106" s="120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  <c r="AA106" s="120"/>
      <c r="AB106" s="120"/>
      <c r="AC106" s="120"/>
      <c r="AD106" s="120"/>
      <c r="AE106" s="120"/>
      <c r="AF106" s="120"/>
    </row>
    <row r="107" ht="12.75" customHeight="1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  <c r="AA107" s="120"/>
      <c r="AB107" s="120"/>
      <c r="AC107" s="120"/>
      <c r="AD107" s="120"/>
      <c r="AE107" s="120"/>
      <c r="AF107" s="120"/>
    </row>
    <row r="108" ht="12.75" customHeight="1">
      <c r="A108" s="120"/>
      <c r="B108" s="120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  <c r="AA108" s="120"/>
      <c r="AB108" s="120"/>
      <c r="AC108" s="120"/>
      <c r="AD108" s="120"/>
      <c r="AE108" s="120"/>
      <c r="AF108" s="120"/>
    </row>
    <row r="109" ht="12.75" customHeight="1">
      <c r="A109" s="120"/>
      <c r="B109" s="120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  <c r="AA109" s="120"/>
      <c r="AB109" s="120"/>
      <c r="AC109" s="120"/>
      <c r="AD109" s="120"/>
      <c r="AE109" s="120"/>
      <c r="AF109" s="120"/>
    </row>
    <row r="110" ht="12.75" customHeight="1">
      <c r="A110" s="120"/>
      <c r="B110" s="120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  <c r="AA110" s="120"/>
      <c r="AB110" s="120"/>
      <c r="AC110" s="120"/>
      <c r="AD110" s="120"/>
      <c r="AE110" s="120"/>
      <c r="AF110" s="120"/>
    </row>
    <row r="111" ht="12.75" customHeight="1">
      <c r="A111" s="120"/>
      <c r="B111" s="120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  <c r="AA111" s="120"/>
      <c r="AB111" s="120"/>
      <c r="AC111" s="120"/>
      <c r="AD111" s="120"/>
      <c r="AE111" s="120"/>
      <c r="AF111" s="120"/>
    </row>
    <row r="112" ht="12.75" customHeight="1">
      <c r="A112" s="120"/>
      <c r="B112" s="120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  <c r="AA112" s="120"/>
      <c r="AB112" s="120"/>
      <c r="AC112" s="120"/>
      <c r="AD112" s="120"/>
      <c r="AE112" s="120"/>
      <c r="AF112" s="120"/>
    </row>
    <row r="113" ht="12.75" customHeight="1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  <c r="AA113" s="120"/>
      <c r="AB113" s="120"/>
      <c r="AC113" s="120"/>
      <c r="AD113" s="120"/>
      <c r="AE113" s="120"/>
      <c r="AF113" s="120"/>
    </row>
    <row r="114" ht="12.75" customHeight="1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  <c r="AA114" s="120"/>
      <c r="AB114" s="120"/>
      <c r="AC114" s="120"/>
      <c r="AD114" s="120"/>
      <c r="AE114" s="120"/>
      <c r="AF114" s="120"/>
    </row>
    <row r="115" ht="12.75" customHeight="1">
      <c r="A115" s="120"/>
      <c r="B115" s="120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  <c r="AA115" s="120"/>
      <c r="AB115" s="120"/>
      <c r="AC115" s="120"/>
      <c r="AD115" s="120"/>
      <c r="AE115" s="120"/>
      <c r="AF115" s="120"/>
    </row>
    <row r="116" ht="12.75" customHeight="1">
      <c r="A116" s="120"/>
      <c r="B116" s="120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  <c r="AA116" s="120"/>
      <c r="AB116" s="120"/>
      <c r="AC116" s="120"/>
      <c r="AD116" s="120"/>
      <c r="AE116" s="120"/>
      <c r="AF116" s="120"/>
    </row>
    <row r="117" ht="12.75" customHeight="1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  <c r="AA117" s="120"/>
      <c r="AB117" s="120"/>
      <c r="AC117" s="120"/>
      <c r="AD117" s="120"/>
      <c r="AE117" s="120"/>
      <c r="AF117" s="120"/>
    </row>
    <row r="118" ht="12.75" customHeight="1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</row>
    <row r="119" ht="12.75" customHeight="1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  <c r="AA119" s="120"/>
      <c r="AB119" s="120"/>
      <c r="AC119" s="120"/>
      <c r="AD119" s="120"/>
      <c r="AE119" s="120"/>
      <c r="AF119" s="120"/>
    </row>
    <row r="120" ht="12.75" customHeight="1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  <c r="AA120" s="120"/>
      <c r="AB120" s="120"/>
      <c r="AC120" s="120"/>
      <c r="AD120" s="120"/>
      <c r="AE120" s="120"/>
      <c r="AF120" s="120"/>
    </row>
    <row r="121" ht="12.75" customHeight="1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  <c r="AA121" s="120"/>
      <c r="AB121" s="120"/>
      <c r="AC121" s="120"/>
      <c r="AD121" s="120"/>
      <c r="AE121" s="120"/>
      <c r="AF121" s="120"/>
    </row>
    <row r="122" ht="12.75" customHeight="1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  <c r="AA122" s="120"/>
      <c r="AB122" s="120"/>
      <c r="AC122" s="120"/>
      <c r="AD122" s="120"/>
      <c r="AE122" s="120"/>
      <c r="AF122" s="120"/>
    </row>
    <row r="123" ht="12.75" customHeight="1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  <c r="AA123" s="120"/>
      <c r="AB123" s="120"/>
      <c r="AC123" s="120"/>
      <c r="AD123" s="120"/>
      <c r="AE123" s="120"/>
      <c r="AF123" s="120"/>
    </row>
    <row r="124" ht="12.75" customHeight="1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  <c r="AA124" s="120"/>
      <c r="AB124" s="120"/>
      <c r="AC124" s="120"/>
      <c r="AD124" s="120"/>
      <c r="AE124" s="120"/>
      <c r="AF124" s="120"/>
    </row>
    <row r="125" ht="12.75" customHeight="1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  <c r="AA125" s="120"/>
      <c r="AB125" s="120"/>
      <c r="AC125" s="120"/>
      <c r="AD125" s="120"/>
      <c r="AE125" s="120"/>
      <c r="AF125" s="120"/>
    </row>
    <row r="126" ht="12.75" customHeight="1">
      <c r="A126" s="120"/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  <c r="AA126" s="120"/>
      <c r="AB126" s="120"/>
      <c r="AC126" s="120"/>
      <c r="AD126" s="120"/>
      <c r="AE126" s="120"/>
      <c r="AF126" s="120"/>
    </row>
    <row r="127" ht="12.75" customHeight="1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  <c r="AA127" s="120"/>
      <c r="AB127" s="120"/>
      <c r="AC127" s="120"/>
      <c r="AD127" s="120"/>
      <c r="AE127" s="120"/>
      <c r="AF127" s="120"/>
    </row>
    <row r="128" ht="12.75" customHeight="1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/>
      <c r="AC128" s="120"/>
      <c r="AD128" s="120"/>
      <c r="AE128" s="120"/>
      <c r="AF128" s="120"/>
    </row>
    <row r="129" ht="12.75" customHeight="1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  <c r="AA129" s="120"/>
      <c r="AB129" s="120"/>
      <c r="AC129" s="120"/>
      <c r="AD129" s="120"/>
      <c r="AE129" s="120"/>
      <c r="AF129" s="120"/>
    </row>
    <row r="130" ht="12.75" customHeight="1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  <c r="AA130" s="120"/>
      <c r="AB130" s="120"/>
      <c r="AC130" s="120"/>
      <c r="AD130" s="120"/>
      <c r="AE130" s="120"/>
      <c r="AF130" s="120"/>
    </row>
    <row r="131" ht="12.75" customHeight="1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  <c r="AA131" s="120"/>
      <c r="AB131" s="120"/>
      <c r="AC131" s="120"/>
      <c r="AD131" s="120"/>
      <c r="AE131" s="120"/>
      <c r="AF131" s="120"/>
    </row>
    <row r="132" ht="12.75" customHeight="1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  <c r="AC132" s="120"/>
      <c r="AD132" s="120"/>
      <c r="AE132" s="120"/>
      <c r="AF132" s="120"/>
    </row>
    <row r="133" ht="12.75" customHeight="1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  <c r="AA133" s="120"/>
      <c r="AB133" s="120"/>
      <c r="AC133" s="120"/>
      <c r="AD133" s="120"/>
      <c r="AE133" s="120"/>
      <c r="AF133" s="120"/>
    </row>
    <row r="134" ht="12.75" customHeight="1">
      <c r="A134" s="120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  <c r="AA134" s="120"/>
      <c r="AB134" s="120"/>
      <c r="AC134" s="120"/>
      <c r="AD134" s="120"/>
      <c r="AE134" s="120"/>
      <c r="AF134" s="120"/>
    </row>
    <row r="135" ht="12.75" customHeight="1">
      <c r="A135" s="120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  <c r="AA135" s="120"/>
      <c r="AB135" s="120"/>
      <c r="AC135" s="120"/>
      <c r="AD135" s="120"/>
      <c r="AE135" s="120"/>
      <c r="AF135" s="120"/>
    </row>
    <row r="136" ht="12.75" customHeight="1">
      <c r="A136" s="120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  <c r="AA136" s="120"/>
      <c r="AB136" s="120"/>
      <c r="AC136" s="120"/>
      <c r="AD136" s="120"/>
      <c r="AE136" s="120"/>
      <c r="AF136" s="120"/>
    </row>
    <row r="137" ht="12.75" customHeight="1">
      <c r="A137" s="120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  <c r="AA137" s="120"/>
      <c r="AB137" s="120"/>
      <c r="AC137" s="120"/>
      <c r="AD137" s="120"/>
      <c r="AE137" s="120"/>
      <c r="AF137" s="120"/>
    </row>
    <row r="138" ht="12.75" customHeight="1">
      <c r="A138" s="120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</row>
    <row r="139" ht="12.75" customHeight="1">
      <c r="A139" s="120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/>
      <c r="AC139" s="120"/>
      <c r="AD139" s="120"/>
      <c r="AE139" s="120"/>
      <c r="AF139" s="120"/>
    </row>
    <row r="140" ht="12.75" customHeight="1">
      <c r="A140" s="120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  <c r="AA140" s="120"/>
      <c r="AB140" s="120"/>
      <c r="AC140" s="120"/>
      <c r="AD140" s="120"/>
      <c r="AE140" s="120"/>
      <c r="AF140" s="120"/>
    </row>
    <row r="141" ht="12.75" customHeight="1">
      <c r="A141" s="120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  <c r="AA141" s="120"/>
      <c r="AB141" s="120"/>
      <c r="AC141" s="120"/>
      <c r="AD141" s="120"/>
      <c r="AE141" s="120"/>
      <c r="AF141" s="120"/>
    </row>
    <row r="142" ht="12.75" customHeight="1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  <c r="AA142" s="120"/>
      <c r="AB142" s="120"/>
      <c r="AC142" s="120"/>
      <c r="AD142" s="120"/>
      <c r="AE142" s="120"/>
      <c r="AF142" s="120"/>
    </row>
    <row r="143" ht="12.75" customHeight="1">
      <c r="A143" s="120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  <c r="AA143" s="120"/>
      <c r="AB143" s="120"/>
      <c r="AC143" s="120"/>
      <c r="AD143" s="120"/>
      <c r="AE143" s="120"/>
      <c r="AF143" s="120"/>
    </row>
    <row r="144" ht="12.75" customHeight="1">
      <c r="A144" s="120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  <c r="AA144" s="120"/>
      <c r="AB144" s="120"/>
      <c r="AC144" s="120"/>
      <c r="AD144" s="120"/>
      <c r="AE144" s="120"/>
      <c r="AF144" s="120"/>
    </row>
    <row r="145" ht="12.75" customHeight="1">
      <c r="A145" s="120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  <c r="AA145" s="120"/>
      <c r="AB145" s="120"/>
      <c r="AC145" s="120"/>
      <c r="AD145" s="120"/>
      <c r="AE145" s="120"/>
      <c r="AF145" s="120"/>
    </row>
    <row r="146" ht="12.75" customHeight="1">
      <c r="A146" s="120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  <c r="AA146" s="120"/>
      <c r="AB146" s="120"/>
      <c r="AC146" s="120"/>
      <c r="AD146" s="120"/>
      <c r="AE146" s="120"/>
      <c r="AF146" s="120"/>
    </row>
    <row r="147" ht="12.75" customHeight="1">
      <c r="A147" s="120"/>
      <c r="B147" s="120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/>
      <c r="AC147" s="120"/>
      <c r="AD147" s="120"/>
      <c r="AE147" s="120"/>
      <c r="AF147" s="120"/>
    </row>
    <row r="148" ht="12.75" customHeight="1">
      <c r="A148" s="120"/>
      <c r="B148" s="120"/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  <c r="AA148" s="120"/>
      <c r="AB148" s="120"/>
      <c r="AC148" s="120"/>
      <c r="AD148" s="120"/>
      <c r="AE148" s="120"/>
      <c r="AF148" s="120"/>
    </row>
    <row r="149" ht="12.75" customHeight="1">
      <c r="A149" s="120"/>
      <c r="B149" s="120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  <c r="AA149" s="120"/>
      <c r="AB149" s="120"/>
      <c r="AC149" s="120"/>
      <c r="AD149" s="120"/>
      <c r="AE149" s="120"/>
      <c r="AF149" s="120"/>
    </row>
    <row r="150" ht="12.75" customHeight="1">
      <c r="A150" s="120"/>
      <c r="B150" s="120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  <c r="AA150" s="120"/>
      <c r="AB150" s="120"/>
      <c r="AC150" s="120"/>
      <c r="AD150" s="120"/>
      <c r="AE150" s="120"/>
      <c r="AF150" s="120"/>
    </row>
    <row r="151" ht="12.75" customHeight="1">
      <c r="A151" s="120"/>
      <c r="B151" s="120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  <c r="AA151" s="120"/>
      <c r="AB151" s="120"/>
      <c r="AC151" s="120"/>
      <c r="AD151" s="120"/>
      <c r="AE151" s="120"/>
      <c r="AF151" s="120"/>
    </row>
    <row r="152" ht="12.75" customHeight="1">
      <c r="A152" s="120"/>
      <c r="B152" s="120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  <c r="AA152" s="120"/>
      <c r="AB152" s="120"/>
      <c r="AC152" s="120"/>
      <c r="AD152" s="120"/>
      <c r="AE152" s="120"/>
      <c r="AF152" s="120"/>
    </row>
    <row r="153" ht="12.75" customHeight="1">
      <c r="A153" s="120"/>
      <c r="B153" s="120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  <c r="AA153" s="120"/>
      <c r="AB153" s="120"/>
      <c r="AC153" s="120"/>
      <c r="AD153" s="120"/>
      <c r="AE153" s="120"/>
      <c r="AF153" s="120"/>
    </row>
    <row r="154" ht="12.75" customHeight="1">
      <c r="A154" s="120"/>
      <c r="B154" s="120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  <c r="AA154" s="120"/>
      <c r="AB154" s="120"/>
      <c r="AC154" s="120"/>
      <c r="AD154" s="120"/>
      <c r="AE154" s="120"/>
      <c r="AF154" s="120"/>
    </row>
    <row r="155" ht="12.75" customHeight="1">
      <c r="A155" s="120"/>
      <c r="B155" s="120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  <c r="AA155" s="120"/>
      <c r="AB155" s="120"/>
      <c r="AC155" s="120"/>
      <c r="AD155" s="120"/>
      <c r="AE155" s="120"/>
      <c r="AF155" s="120"/>
    </row>
    <row r="156" ht="12.75" customHeight="1">
      <c r="A156" s="120"/>
      <c r="B156" s="120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  <c r="AA156" s="120"/>
      <c r="AB156" s="120"/>
      <c r="AC156" s="120"/>
      <c r="AD156" s="120"/>
      <c r="AE156" s="120"/>
      <c r="AF156" s="120"/>
    </row>
    <row r="157" ht="12.75" customHeight="1">
      <c r="A157" s="120"/>
      <c r="B157" s="120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  <c r="AA157" s="120"/>
      <c r="AB157" s="120"/>
      <c r="AC157" s="120"/>
      <c r="AD157" s="120"/>
      <c r="AE157" s="120"/>
      <c r="AF157" s="120"/>
    </row>
    <row r="158" ht="12.75" customHeight="1">
      <c r="A158" s="120"/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  <c r="AA158" s="120"/>
      <c r="AB158" s="120"/>
      <c r="AC158" s="120"/>
      <c r="AD158" s="120"/>
      <c r="AE158" s="120"/>
      <c r="AF158" s="120"/>
    </row>
    <row r="159" ht="12.75" customHeight="1">
      <c r="A159" s="120"/>
      <c r="B159" s="120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  <c r="AA159" s="120"/>
      <c r="AB159" s="120"/>
      <c r="AC159" s="120"/>
      <c r="AD159" s="120"/>
      <c r="AE159" s="120"/>
      <c r="AF159" s="120"/>
    </row>
    <row r="160" ht="12.75" customHeight="1">
      <c r="A160" s="120"/>
      <c r="B160" s="120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  <c r="AA160" s="120"/>
      <c r="AB160" s="120"/>
      <c r="AC160" s="120"/>
      <c r="AD160" s="120"/>
      <c r="AE160" s="120"/>
      <c r="AF160" s="120"/>
    </row>
    <row r="161" ht="12.75" customHeight="1">
      <c r="A161" s="120"/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  <c r="AA161" s="120"/>
      <c r="AB161" s="120"/>
      <c r="AC161" s="120"/>
      <c r="AD161" s="120"/>
      <c r="AE161" s="120"/>
      <c r="AF161" s="120"/>
    </row>
    <row r="162" ht="12.75" customHeight="1">
      <c r="A162" s="120"/>
      <c r="B162" s="120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  <c r="AA162" s="120"/>
      <c r="AB162" s="120"/>
      <c r="AC162" s="120"/>
      <c r="AD162" s="120"/>
      <c r="AE162" s="120"/>
      <c r="AF162" s="120"/>
    </row>
    <row r="163" ht="12.75" customHeight="1">
      <c r="A163" s="120"/>
      <c r="B163" s="120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  <c r="AA163" s="120"/>
      <c r="AB163" s="120"/>
      <c r="AC163" s="120"/>
      <c r="AD163" s="120"/>
      <c r="AE163" s="120"/>
      <c r="AF163" s="120"/>
    </row>
    <row r="164" ht="12.75" customHeight="1">
      <c r="A164" s="120"/>
      <c r="B164" s="120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  <c r="AA164" s="120"/>
      <c r="AB164" s="120"/>
      <c r="AC164" s="120"/>
      <c r="AD164" s="120"/>
      <c r="AE164" s="120"/>
      <c r="AF164" s="120"/>
    </row>
    <row r="165" ht="12.75" customHeight="1">
      <c r="A165" s="120"/>
      <c r="B165" s="120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  <c r="AA165" s="120"/>
      <c r="AB165" s="120"/>
      <c r="AC165" s="120"/>
      <c r="AD165" s="120"/>
      <c r="AE165" s="120"/>
      <c r="AF165" s="120"/>
    </row>
    <row r="166" ht="12.75" customHeight="1">
      <c r="A166" s="120"/>
      <c r="B166" s="120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  <c r="AA166" s="120"/>
      <c r="AB166" s="120"/>
      <c r="AC166" s="120"/>
      <c r="AD166" s="120"/>
      <c r="AE166" s="120"/>
      <c r="AF166" s="120"/>
    </row>
    <row r="167" ht="12.75" customHeight="1">
      <c r="A167" s="120"/>
      <c r="B167" s="120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  <c r="AA167" s="120"/>
      <c r="AB167" s="120"/>
      <c r="AC167" s="120"/>
      <c r="AD167" s="120"/>
      <c r="AE167" s="120"/>
      <c r="AF167" s="120"/>
    </row>
    <row r="168" ht="12.75" customHeight="1">
      <c r="A168" s="120"/>
      <c r="B168" s="120"/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  <c r="AA168" s="120"/>
      <c r="AB168" s="120"/>
      <c r="AC168" s="120"/>
      <c r="AD168" s="120"/>
      <c r="AE168" s="120"/>
      <c r="AF168" s="120"/>
    </row>
    <row r="169" ht="12.75" customHeight="1">
      <c r="A169" s="120"/>
      <c r="B169" s="120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  <c r="AA169" s="120"/>
      <c r="AB169" s="120"/>
      <c r="AC169" s="120"/>
      <c r="AD169" s="120"/>
      <c r="AE169" s="120"/>
      <c r="AF169" s="120"/>
    </row>
    <row r="170" ht="12.75" customHeight="1">
      <c r="A170" s="120"/>
      <c r="B170" s="120"/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  <c r="AA170" s="120"/>
      <c r="AB170" s="120"/>
      <c r="AC170" s="120"/>
      <c r="AD170" s="120"/>
      <c r="AE170" s="120"/>
      <c r="AF170" s="120"/>
    </row>
    <row r="171" ht="12.75" customHeight="1">
      <c r="A171" s="120"/>
      <c r="B171" s="120"/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  <c r="AA171" s="120"/>
      <c r="AB171" s="120"/>
      <c r="AC171" s="120"/>
      <c r="AD171" s="120"/>
      <c r="AE171" s="120"/>
      <c r="AF171" s="120"/>
    </row>
    <row r="172" ht="12.75" customHeight="1">
      <c r="A172" s="120"/>
      <c r="B172" s="120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  <c r="AA172" s="120"/>
      <c r="AB172" s="120"/>
      <c r="AC172" s="120"/>
      <c r="AD172" s="120"/>
      <c r="AE172" s="120"/>
      <c r="AF172" s="120"/>
    </row>
    <row r="173" ht="12.75" customHeight="1">
      <c r="A173" s="120"/>
      <c r="B173" s="120"/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  <c r="AA173" s="120"/>
      <c r="AB173" s="120"/>
      <c r="AC173" s="120"/>
      <c r="AD173" s="120"/>
      <c r="AE173" s="120"/>
      <c r="AF173" s="120"/>
    </row>
    <row r="174" ht="12.75" customHeight="1">
      <c r="A174" s="120"/>
      <c r="B174" s="120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  <c r="AA174" s="120"/>
      <c r="AB174" s="120"/>
      <c r="AC174" s="120"/>
      <c r="AD174" s="120"/>
      <c r="AE174" s="120"/>
      <c r="AF174" s="120"/>
    </row>
    <row r="175" ht="12.75" customHeight="1">
      <c r="A175" s="120"/>
      <c r="B175" s="120"/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  <c r="AA175" s="120"/>
      <c r="AB175" s="120"/>
      <c r="AC175" s="120"/>
      <c r="AD175" s="120"/>
      <c r="AE175" s="120"/>
      <c r="AF175" s="120"/>
    </row>
    <row r="176" ht="12.75" customHeight="1">
      <c r="A176" s="120"/>
      <c r="B176" s="120"/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  <c r="AA176" s="120"/>
      <c r="AB176" s="120"/>
      <c r="AC176" s="120"/>
      <c r="AD176" s="120"/>
      <c r="AE176" s="120"/>
      <c r="AF176" s="120"/>
    </row>
    <row r="177" ht="12.75" customHeight="1">
      <c r="A177" s="120"/>
      <c r="B177" s="120"/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  <c r="AA177" s="120"/>
      <c r="AB177" s="120"/>
      <c r="AC177" s="120"/>
      <c r="AD177" s="120"/>
      <c r="AE177" s="120"/>
      <c r="AF177" s="120"/>
    </row>
    <row r="178" ht="12.75" customHeight="1">
      <c r="A178" s="120"/>
      <c r="B178" s="120"/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  <c r="AA178" s="120"/>
      <c r="AB178" s="120"/>
      <c r="AC178" s="120"/>
      <c r="AD178" s="120"/>
      <c r="AE178" s="120"/>
      <c r="AF178" s="120"/>
    </row>
    <row r="179" ht="12.75" customHeight="1">
      <c r="A179" s="120"/>
      <c r="B179" s="120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  <c r="AA179" s="120"/>
      <c r="AB179" s="120"/>
      <c r="AC179" s="120"/>
      <c r="AD179" s="120"/>
      <c r="AE179" s="120"/>
      <c r="AF179" s="120"/>
    </row>
    <row r="180" ht="12.75" customHeight="1">
      <c r="A180" s="120"/>
      <c r="B180" s="120"/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  <c r="AA180" s="120"/>
      <c r="AB180" s="120"/>
      <c r="AC180" s="120"/>
      <c r="AD180" s="120"/>
      <c r="AE180" s="120"/>
      <c r="AF180" s="120"/>
    </row>
    <row r="181" ht="12.75" customHeight="1">
      <c r="A181" s="120"/>
      <c r="B181" s="120"/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  <c r="AA181" s="120"/>
      <c r="AB181" s="120"/>
      <c r="AC181" s="120"/>
      <c r="AD181" s="120"/>
      <c r="AE181" s="120"/>
      <c r="AF181" s="120"/>
    </row>
    <row r="182" ht="12.75" customHeight="1">
      <c r="A182" s="120"/>
      <c r="B182" s="120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  <c r="AA182" s="120"/>
      <c r="AB182" s="120"/>
      <c r="AC182" s="120"/>
      <c r="AD182" s="120"/>
      <c r="AE182" s="120"/>
      <c r="AF182" s="120"/>
    </row>
    <row r="183" ht="12.75" customHeight="1">
      <c r="A183" s="120"/>
      <c r="B183" s="120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  <c r="AA183" s="120"/>
      <c r="AB183" s="120"/>
      <c r="AC183" s="120"/>
      <c r="AD183" s="120"/>
      <c r="AE183" s="120"/>
      <c r="AF183" s="120"/>
    </row>
    <row r="184" ht="12.75" customHeight="1">
      <c r="A184" s="120"/>
      <c r="B184" s="120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  <c r="AA184" s="120"/>
      <c r="AB184" s="120"/>
      <c r="AC184" s="120"/>
      <c r="AD184" s="120"/>
      <c r="AE184" s="120"/>
      <c r="AF184" s="120"/>
    </row>
    <row r="185" ht="12.75" customHeight="1">
      <c r="A185" s="120"/>
      <c r="B185" s="120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  <c r="AA185" s="120"/>
      <c r="AB185" s="120"/>
      <c r="AC185" s="120"/>
      <c r="AD185" s="120"/>
      <c r="AE185" s="120"/>
      <c r="AF185" s="120"/>
    </row>
    <row r="186" ht="12.75" customHeight="1">
      <c r="A186" s="120"/>
      <c r="B186" s="120"/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  <c r="AA186" s="120"/>
      <c r="AB186" s="120"/>
      <c r="AC186" s="120"/>
      <c r="AD186" s="120"/>
      <c r="AE186" s="120"/>
      <c r="AF186" s="120"/>
    </row>
    <row r="187" ht="12.75" customHeight="1">
      <c r="A187" s="120"/>
      <c r="B187" s="120"/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  <c r="AA187" s="120"/>
      <c r="AB187" s="120"/>
      <c r="AC187" s="120"/>
      <c r="AD187" s="120"/>
      <c r="AE187" s="120"/>
      <c r="AF187" s="120"/>
    </row>
    <row r="188" ht="12.75" customHeight="1">
      <c r="A188" s="120"/>
      <c r="B188" s="120"/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  <c r="AA188" s="120"/>
      <c r="AB188" s="120"/>
      <c r="AC188" s="120"/>
      <c r="AD188" s="120"/>
      <c r="AE188" s="120"/>
      <c r="AF188" s="120"/>
    </row>
    <row r="189" ht="12.75" customHeight="1">
      <c r="A189" s="120"/>
      <c r="B189" s="120"/>
      <c r="C189" s="120"/>
      <c r="D189" s="120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  <c r="AA189" s="120"/>
      <c r="AB189" s="120"/>
      <c r="AC189" s="120"/>
      <c r="AD189" s="120"/>
      <c r="AE189" s="120"/>
      <c r="AF189" s="120"/>
    </row>
    <row r="190" ht="12.75" customHeight="1">
      <c r="A190" s="120"/>
      <c r="B190" s="120"/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  <c r="AA190" s="120"/>
      <c r="AB190" s="120"/>
      <c r="AC190" s="120"/>
      <c r="AD190" s="120"/>
      <c r="AE190" s="120"/>
      <c r="AF190" s="120"/>
    </row>
    <row r="191" ht="12.75" customHeight="1">
      <c r="A191" s="120"/>
      <c r="B191" s="120"/>
      <c r="C191" s="120"/>
      <c r="D191" s="12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  <c r="AA191" s="120"/>
      <c r="AB191" s="120"/>
      <c r="AC191" s="120"/>
      <c r="AD191" s="120"/>
      <c r="AE191" s="120"/>
      <c r="AF191" s="120"/>
    </row>
    <row r="192" ht="12.75" customHeight="1">
      <c r="A192" s="120"/>
      <c r="B192" s="120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  <c r="AA192" s="120"/>
      <c r="AB192" s="120"/>
      <c r="AC192" s="120"/>
      <c r="AD192" s="120"/>
      <c r="AE192" s="120"/>
      <c r="AF192" s="120"/>
    </row>
    <row r="193" ht="12.75" customHeight="1">
      <c r="A193" s="120"/>
      <c r="B193" s="120"/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  <c r="AA193" s="120"/>
      <c r="AB193" s="120"/>
      <c r="AC193" s="120"/>
      <c r="AD193" s="120"/>
      <c r="AE193" s="120"/>
      <c r="AF193" s="120"/>
    </row>
    <row r="194" ht="12.75" customHeight="1">
      <c r="A194" s="120"/>
      <c r="B194" s="120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  <c r="AA194" s="120"/>
      <c r="AB194" s="120"/>
      <c r="AC194" s="120"/>
      <c r="AD194" s="120"/>
      <c r="AE194" s="120"/>
      <c r="AF194" s="120"/>
    </row>
    <row r="195" ht="12.75" customHeight="1">
      <c r="A195" s="120"/>
      <c r="B195" s="120"/>
      <c r="C195" s="120"/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  <c r="AA195" s="120"/>
      <c r="AB195" s="120"/>
      <c r="AC195" s="120"/>
      <c r="AD195" s="120"/>
      <c r="AE195" s="120"/>
      <c r="AF195" s="120"/>
    </row>
    <row r="196" ht="12.75" customHeight="1">
      <c r="A196" s="120"/>
      <c r="B196" s="120"/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  <c r="AA196" s="120"/>
      <c r="AB196" s="120"/>
      <c r="AC196" s="120"/>
      <c r="AD196" s="120"/>
      <c r="AE196" s="120"/>
      <c r="AF196" s="120"/>
    </row>
    <row r="197" ht="12.75" customHeight="1">
      <c r="A197" s="120"/>
      <c r="B197" s="120"/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  <c r="AA197" s="120"/>
      <c r="AB197" s="120"/>
      <c r="AC197" s="120"/>
      <c r="AD197" s="120"/>
      <c r="AE197" s="120"/>
      <c r="AF197" s="120"/>
    </row>
    <row r="198" ht="12.75" customHeight="1">
      <c r="A198" s="120"/>
      <c r="B198" s="120"/>
      <c r="C198" s="120"/>
      <c r="D198" s="120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  <c r="AA198" s="120"/>
      <c r="AB198" s="120"/>
      <c r="AC198" s="120"/>
      <c r="AD198" s="120"/>
      <c r="AE198" s="120"/>
      <c r="AF198" s="120"/>
    </row>
    <row r="199" ht="12.75" customHeight="1">
      <c r="A199" s="120"/>
      <c r="B199" s="120"/>
      <c r="C199" s="120"/>
      <c r="D199" s="120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  <c r="AA199" s="120"/>
      <c r="AB199" s="120"/>
      <c r="AC199" s="120"/>
      <c r="AD199" s="120"/>
      <c r="AE199" s="120"/>
      <c r="AF199" s="120"/>
    </row>
    <row r="200" ht="12.75" customHeight="1">
      <c r="A200" s="120"/>
      <c r="B200" s="120"/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  <c r="AA200" s="120"/>
      <c r="AB200" s="120"/>
      <c r="AC200" s="120"/>
      <c r="AD200" s="120"/>
      <c r="AE200" s="120"/>
      <c r="AF200" s="120"/>
    </row>
    <row r="201" ht="12.75" customHeight="1">
      <c r="A201" s="120"/>
      <c r="B201" s="120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  <c r="AA201" s="120"/>
      <c r="AB201" s="120"/>
      <c r="AC201" s="120"/>
      <c r="AD201" s="120"/>
      <c r="AE201" s="120"/>
      <c r="AF201" s="120"/>
    </row>
    <row r="202" ht="12.75" customHeight="1">
      <c r="A202" s="120"/>
      <c r="B202" s="120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  <c r="AA202" s="120"/>
      <c r="AB202" s="120"/>
      <c r="AC202" s="120"/>
      <c r="AD202" s="120"/>
      <c r="AE202" s="120"/>
      <c r="AF202" s="120"/>
    </row>
    <row r="203" ht="12.75" customHeight="1">
      <c r="A203" s="120"/>
      <c r="B203" s="120"/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  <c r="AA203" s="120"/>
      <c r="AB203" s="120"/>
      <c r="AC203" s="120"/>
      <c r="AD203" s="120"/>
      <c r="AE203" s="120"/>
      <c r="AF203" s="120"/>
    </row>
    <row r="204" ht="12.75" customHeight="1">
      <c r="A204" s="120"/>
      <c r="B204" s="120"/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  <c r="AA204" s="120"/>
      <c r="AB204" s="120"/>
      <c r="AC204" s="120"/>
      <c r="AD204" s="120"/>
      <c r="AE204" s="120"/>
      <c r="AF204" s="120"/>
    </row>
    <row r="205" ht="12.75" customHeight="1">
      <c r="A205" s="120"/>
      <c r="B205" s="120"/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  <c r="AA205" s="120"/>
      <c r="AB205" s="120"/>
      <c r="AC205" s="120"/>
      <c r="AD205" s="120"/>
      <c r="AE205" s="120"/>
      <c r="AF205" s="120"/>
    </row>
    <row r="206" ht="12.75" customHeight="1">
      <c r="A206" s="120"/>
      <c r="B206" s="120"/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  <c r="AA206" s="120"/>
      <c r="AB206" s="120"/>
      <c r="AC206" s="120"/>
      <c r="AD206" s="120"/>
      <c r="AE206" s="120"/>
      <c r="AF206" s="120"/>
    </row>
    <row r="207" ht="12.75" customHeight="1">
      <c r="A207" s="120"/>
      <c r="B207" s="120"/>
      <c r="C207" s="120"/>
      <c r="D207" s="120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  <c r="AA207" s="120"/>
      <c r="AB207" s="120"/>
      <c r="AC207" s="120"/>
      <c r="AD207" s="120"/>
      <c r="AE207" s="120"/>
      <c r="AF207" s="120"/>
    </row>
    <row r="208" ht="12.75" customHeight="1">
      <c r="A208" s="120"/>
      <c r="B208" s="120"/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  <c r="AA208" s="120"/>
      <c r="AB208" s="120"/>
      <c r="AC208" s="120"/>
      <c r="AD208" s="120"/>
      <c r="AE208" s="120"/>
      <c r="AF208" s="120"/>
    </row>
    <row r="209" ht="12.75" customHeight="1">
      <c r="A209" s="120"/>
      <c r="B209" s="120"/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  <c r="AA209" s="120"/>
      <c r="AB209" s="120"/>
      <c r="AC209" s="120"/>
      <c r="AD209" s="120"/>
      <c r="AE209" s="120"/>
      <c r="AF209" s="120"/>
    </row>
    <row r="210" ht="12.75" customHeight="1">
      <c r="A210" s="120"/>
      <c r="B210" s="120"/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  <c r="AA210" s="120"/>
      <c r="AB210" s="120"/>
      <c r="AC210" s="120"/>
      <c r="AD210" s="120"/>
      <c r="AE210" s="120"/>
      <c r="AF210" s="120"/>
    </row>
    <row r="211" ht="12.75" customHeight="1">
      <c r="A211" s="120"/>
      <c r="B211" s="120"/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  <c r="AA211" s="120"/>
      <c r="AB211" s="120"/>
      <c r="AC211" s="120"/>
      <c r="AD211" s="120"/>
      <c r="AE211" s="120"/>
      <c r="AF211" s="120"/>
    </row>
    <row r="212" ht="12.75" customHeight="1">
      <c r="A212" s="120"/>
      <c r="B212" s="120"/>
      <c r="C212" s="120"/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  <c r="AA212" s="120"/>
      <c r="AB212" s="120"/>
      <c r="AC212" s="120"/>
      <c r="AD212" s="120"/>
      <c r="AE212" s="120"/>
      <c r="AF212" s="120"/>
    </row>
    <row r="213" ht="12.75" customHeight="1">
      <c r="A213" s="120"/>
      <c r="B213" s="120"/>
      <c r="C213" s="120"/>
      <c r="D213" s="120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  <c r="AA213" s="120"/>
      <c r="AB213" s="120"/>
      <c r="AC213" s="120"/>
      <c r="AD213" s="120"/>
      <c r="AE213" s="120"/>
      <c r="AF213" s="120"/>
    </row>
    <row r="214" ht="12.75" customHeight="1">
      <c r="A214" s="120"/>
      <c r="B214" s="120"/>
      <c r="C214" s="120"/>
      <c r="D214" s="120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  <c r="AA214" s="120"/>
      <c r="AB214" s="120"/>
      <c r="AC214" s="120"/>
      <c r="AD214" s="120"/>
      <c r="AE214" s="120"/>
      <c r="AF214" s="120"/>
    </row>
    <row r="215" ht="12.75" customHeight="1">
      <c r="A215" s="120"/>
      <c r="B215" s="120"/>
      <c r="C215" s="120"/>
      <c r="D215" s="120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  <c r="AA215" s="120"/>
      <c r="AB215" s="120"/>
      <c r="AC215" s="120"/>
      <c r="AD215" s="120"/>
      <c r="AE215" s="120"/>
      <c r="AF215" s="120"/>
    </row>
    <row r="216" ht="12.75" customHeight="1">
      <c r="A216" s="120"/>
      <c r="B216" s="120"/>
      <c r="C216" s="120"/>
      <c r="D216" s="120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  <c r="AA216" s="120"/>
      <c r="AB216" s="120"/>
      <c r="AC216" s="120"/>
      <c r="AD216" s="120"/>
      <c r="AE216" s="120"/>
      <c r="AF216" s="120"/>
    </row>
    <row r="217" ht="12.75" customHeight="1">
      <c r="A217" s="120"/>
      <c r="B217" s="120"/>
      <c r="C217" s="120"/>
      <c r="D217" s="120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  <c r="AA217" s="120"/>
      <c r="AB217" s="120"/>
      <c r="AC217" s="120"/>
      <c r="AD217" s="120"/>
      <c r="AE217" s="120"/>
      <c r="AF217" s="120"/>
    </row>
    <row r="218" ht="12.75" customHeight="1">
      <c r="A218" s="120"/>
      <c r="B218" s="120"/>
      <c r="C218" s="120"/>
      <c r="D218" s="120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  <c r="AA218" s="120"/>
      <c r="AB218" s="120"/>
      <c r="AC218" s="120"/>
      <c r="AD218" s="120"/>
      <c r="AE218" s="120"/>
      <c r="AF218" s="120"/>
    </row>
    <row r="219" ht="12.75" customHeight="1">
      <c r="A219" s="120"/>
      <c r="B219" s="120"/>
      <c r="C219" s="120"/>
      <c r="D219" s="120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  <c r="AA219" s="120"/>
      <c r="AB219" s="120"/>
      <c r="AC219" s="120"/>
      <c r="AD219" s="120"/>
      <c r="AE219" s="120"/>
      <c r="AF219" s="120"/>
    </row>
    <row r="220" ht="12.75" customHeight="1">
      <c r="A220" s="120"/>
      <c r="B220" s="120"/>
      <c r="C220" s="120"/>
      <c r="D220" s="120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  <c r="AA220" s="120"/>
      <c r="AB220" s="120"/>
      <c r="AC220" s="120"/>
      <c r="AD220" s="120"/>
      <c r="AE220" s="120"/>
      <c r="AF220" s="120"/>
    </row>
    <row r="221" ht="12.75" customHeight="1">
      <c r="A221" s="120"/>
      <c r="B221" s="120"/>
      <c r="C221" s="120"/>
      <c r="D221" s="120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  <c r="AA221" s="120"/>
      <c r="AB221" s="120"/>
      <c r="AC221" s="120"/>
      <c r="AD221" s="120"/>
      <c r="AE221" s="120"/>
      <c r="AF221" s="120"/>
    </row>
    <row r="222" ht="12.75" customHeight="1">
      <c r="A222" s="120"/>
      <c r="B222" s="120"/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  <c r="AA222" s="120"/>
      <c r="AB222" s="120"/>
      <c r="AC222" s="120"/>
      <c r="AD222" s="120"/>
      <c r="AE222" s="120"/>
      <c r="AF222" s="120"/>
    </row>
    <row r="223" ht="12.75" customHeight="1">
      <c r="A223" s="120"/>
      <c r="B223" s="120"/>
      <c r="C223" s="120"/>
      <c r="D223" s="120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  <c r="AA223" s="120"/>
      <c r="AB223" s="120"/>
      <c r="AC223" s="120"/>
      <c r="AD223" s="120"/>
      <c r="AE223" s="120"/>
      <c r="AF223" s="120"/>
    </row>
    <row r="224" ht="12.75" customHeight="1">
      <c r="A224" s="120"/>
      <c r="B224" s="120"/>
      <c r="C224" s="120"/>
      <c r="D224" s="120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  <c r="AA224" s="120"/>
      <c r="AB224" s="120"/>
      <c r="AC224" s="120"/>
      <c r="AD224" s="120"/>
      <c r="AE224" s="120"/>
      <c r="AF224" s="120"/>
    </row>
    <row r="225" ht="12.75" customHeight="1">
      <c r="A225" s="120"/>
      <c r="B225" s="120"/>
      <c r="C225" s="120"/>
      <c r="D225" s="120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  <c r="AA225" s="120"/>
      <c r="AB225" s="120"/>
      <c r="AC225" s="120"/>
      <c r="AD225" s="120"/>
      <c r="AE225" s="120"/>
      <c r="AF225" s="120"/>
    </row>
    <row r="226" ht="12.75" customHeight="1">
      <c r="A226" s="120"/>
      <c r="B226" s="120"/>
      <c r="C226" s="120"/>
      <c r="D226" s="120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  <c r="AA226" s="120"/>
      <c r="AB226" s="120"/>
      <c r="AC226" s="120"/>
      <c r="AD226" s="120"/>
      <c r="AE226" s="120"/>
      <c r="AF226" s="120"/>
    </row>
    <row r="227" ht="12.75" customHeight="1">
      <c r="A227" s="120"/>
      <c r="B227" s="120"/>
      <c r="C227" s="120"/>
      <c r="D227" s="120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  <c r="AA227" s="120"/>
      <c r="AB227" s="120"/>
      <c r="AC227" s="120"/>
      <c r="AD227" s="120"/>
      <c r="AE227" s="120"/>
      <c r="AF227" s="120"/>
    </row>
    <row r="228" ht="12.75" customHeight="1">
      <c r="A228" s="120"/>
      <c r="B228" s="120"/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  <c r="AA228" s="120"/>
      <c r="AB228" s="120"/>
      <c r="AC228" s="120"/>
      <c r="AD228" s="120"/>
      <c r="AE228" s="120"/>
      <c r="AF228" s="120"/>
    </row>
    <row r="229" ht="12.75" customHeight="1">
      <c r="A229" s="120"/>
      <c r="B229" s="120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  <c r="AA229" s="120"/>
      <c r="AB229" s="120"/>
      <c r="AC229" s="120"/>
      <c r="AD229" s="120"/>
      <c r="AE229" s="120"/>
      <c r="AF229" s="120"/>
    </row>
    <row r="230" ht="12.75" customHeight="1">
      <c r="A230" s="120"/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  <c r="AA230" s="120"/>
      <c r="AB230" s="120"/>
      <c r="AC230" s="120"/>
      <c r="AD230" s="120"/>
      <c r="AE230" s="120"/>
      <c r="AF230" s="120"/>
    </row>
    <row r="231" ht="12.75" customHeight="1">
      <c r="A231" s="120"/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  <c r="AA231" s="120"/>
      <c r="AB231" s="120"/>
      <c r="AC231" s="120"/>
      <c r="AD231" s="120"/>
      <c r="AE231" s="120"/>
      <c r="AF231" s="120"/>
    </row>
    <row r="232" ht="12.75" customHeight="1">
      <c r="A232" s="120"/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  <c r="AA232" s="120"/>
      <c r="AB232" s="120"/>
      <c r="AC232" s="120"/>
      <c r="AD232" s="120"/>
      <c r="AE232" s="120"/>
      <c r="AF232" s="120"/>
    </row>
    <row r="233" ht="12.75" customHeight="1">
      <c r="A233" s="120"/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  <c r="AA233" s="120"/>
      <c r="AB233" s="120"/>
      <c r="AC233" s="120"/>
      <c r="AD233" s="120"/>
      <c r="AE233" s="120"/>
      <c r="AF233" s="120"/>
    </row>
    <row r="234" ht="12.75" customHeight="1">
      <c r="A234" s="120"/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  <c r="AA234" s="120"/>
      <c r="AB234" s="120"/>
      <c r="AC234" s="120"/>
      <c r="AD234" s="120"/>
      <c r="AE234" s="120"/>
      <c r="AF234" s="120"/>
    </row>
    <row r="235" ht="12.75" customHeight="1">
      <c r="A235" s="120"/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  <c r="AA235" s="120"/>
      <c r="AB235" s="120"/>
      <c r="AC235" s="120"/>
      <c r="AD235" s="120"/>
      <c r="AE235" s="120"/>
      <c r="AF235" s="120"/>
    </row>
    <row r="236" ht="12.75" customHeight="1">
      <c r="A236" s="120"/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  <c r="AA236" s="120"/>
      <c r="AB236" s="120"/>
      <c r="AC236" s="120"/>
      <c r="AD236" s="120"/>
      <c r="AE236" s="120"/>
      <c r="AF236" s="120"/>
    </row>
    <row r="237" ht="13.5" customHeight="1">
      <c r="A237" s="120"/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  <c r="AA237" s="120"/>
      <c r="AB237" s="120"/>
      <c r="AC237" s="120"/>
      <c r="AD237" s="120"/>
      <c r="AE237" s="120"/>
      <c r="AF237" s="120"/>
    </row>
    <row r="238" ht="13.5" customHeight="1">
      <c r="A238" s="120"/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  <c r="AA238" s="120"/>
      <c r="AB238" s="120"/>
      <c r="AC238" s="120"/>
      <c r="AD238" s="120"/>
      <c r="AE238" s="120"/>
      <c r="AF238" s="120"/>
    </row>
    <row r="239" ht="13.5" customHeight="1">
      <c r="A239" s="120"/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  <c r="AA239" s="120"/>
      <c r="AB239" s="120"/>
      <c r="AC239" s="120"/>
      <c r="AD239" s="120"/>
      <c r="AE239" s="120"/>
      <c r="AF239" s="120"/>
    </row>
    <row r="240" ht="13.5" customHeight="1">
      <c r="A240" s="120"/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  <c r="AA240" s="120"/>
      <c r="AB240" s="120"/>
      <c r="AC240" s="120"/>
      <c r="AD240" s="120"/>
      <c r="AE240" s="120"/>
      <c r="AF240" s="120"/>
    </row>
    <row r="241" ht="13.5" customHeight="1">
      <c r="A241" s="120"/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  <c r="AA241" s="120"/>
      <c r="AB241" s="120"/>
      <c r="AC241" s="120"/>
      <c r="AD241" s="120"/>
      <c r="AE241" s="120"/>
      <c r="AF241" s="120"/>
    </row>
    <row r="242" ht="13.5" customHeight="1">
      <c r="A242" s="120"/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  <c r="AA242" s="120"/>
      <c r="AB242" s="120"/>
      <c r="AC242" s="120"/>
      <c r="AD242" s="120"/>
      <c r="AE242" s="120"/>
      <c r="AF242" s="120"/>
    </row>
    <row r="243" ht="13.5" customHeight="1">
      <c r="A243" s="120"/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  <c r="AA243" s="120"/>
      <c r="AB243" s="120"/>
      <c r="AC243" s="120"/>
      <c r="AD243" s="120"/>
      <c r="AE243" s="120"/>
      <c r="AF243" s="120"/>
    </row>
    <row r="244" ht="13.5" customHeight="1">
      <c r="A244" s="120"/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  <c r="AA244" s="120"/>
      <c r="AB244" s="120"/>
      <c r="AC244" s="120"/>
      <c r="AD244" s="120"/>
      <c r="AE244" s="120"/>
      <c r="AF244" s="120"/>
    </row>
    <row r="245" ht="13.5" customHeight="1">
      <c r="A245" s="120"/>
      <c r="B245" s="120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  <c r="AA245" s="120"/>
      <c r="AB245" s="120"/>
      <c r="AC245" s="120"/>
      <c r="AD245" s="120"/>
      <c r="AE245" s="120"/>
      <c r="AF245" s="120"/>
    </row>
    <row r="246" ht="13.5" customHeight="1">
      <c r="A246" s="120"/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  <c r="AA246" s="120"/>
      <c r="AB246" s="120"/>
      <c r="AC246" s="120"/>
      <c r="AD246" s="120"/>
      <c r="AE246" s="120"/>
      <c r="AF246" s="120"/>
    </row>
    <row r="247" ht="13.5" customHeight="1">
      <c r="A247" s="120"/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  <c r="AA247" s="120"/>
      <c r="AB247" s="120"/>
      <c r="AC247" s="120"/>
      <c r="AD247" s="120"/>
      <c r="AE247" s="120"/>
      <c r="AF247" s="120"/>
    </row>
    <row r="248" ht="13.5" customHeight="1">
      <c r="A248" s="120"/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  <c r="AA248" s="120"/>
      <c r="AB248" s="120"/>
      <c r="AC248" s="120"/>
      <c r="AD248" s="120"/>
      <c r="AE248" s="120"/>
      <c r="AF248" s="120"/>
    </row>
    <row r="249" ht="13.5" customHeight="1">
      <c r="A249" s="120"/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  <c r="AA249" s="120"/>
      <c r="AB249" s="120"/>
      <c r="AC249" s="120"/>
      <c r="AD249" s="120"/>
      <c r="AE249" s="120"/>
      <c r="AF249" s="120"/>
    </row>
    <row r="250" ht="13.5" customHeight="1">
      <c r="A250" s="120"/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  <c r="AA250" s="120"/>
      <c r="AB250" s="120"/>
      <c r="AC250" s="120"/>
      <c r="AD250" s="120"/>
      <c r="AE250" s="120"/>
      <c r="AF250" s="120"/>
    </row>
    <row r="251" ht="13.5" customHeight="1">
      <c r="A251" s="120"/>
      <c r="B251" s="120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  <c r="AA251" s="120"/>
      <c r="AB251" s="120"/>
      <c r="AC251" s="120"/>
      <c r="AD251" s="120"/>
      <c r="AE251" s="120"/>
      <c r="AF251" s="120"/>
    </row>
    <row r="252" ht="13.5" customHeight="1">
      <c r="A252" s="120"/>
      <c r="B252" s="120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  <c r="AA252" s="120"/>
      <c r="AB252" s="120"/>
      <c r="AC252" s="120"/>
      <c r="AD252" s="120"/>
      <c r="AE252" s="120"/>
      <c r="AF252" s="120"/>
    </row>
    <row r="253" ht="13.5" customHeight="1">
      <c r="A253" s="120"/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  <c r="AA253" s="120"/>
      <c r="AB253" s="120"/>
      <c r="AC253" s="120"/>
      <c r="AD253" s="120"/>
      <c r="AE253" s="120"/>
      <c r="AF253" s="120"/>
    </row>
    <row r="254" ht="13.5" customHeight="1">
      <c r="A254" s="120"/>
      <c r="B254" s="120"/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  <c r="AA254" s="120"/>
      <c r="AB254" s="120"/>
      <c r="AC254" s="120"/>
      <c r="AD254" s="120"/>
      <c r="AE254" s="120"/>
      <c r="AF254" s="120"/>
    </row>
    <row r="255" ht="13.5" customHeight="1">
      <c r="A255" s="120"/>
      <c r="B255" s="120"/>
      <c r="C255" s="120"/>
      <c r="D255" s="120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  <c r="AA255" s="120"/>
      <c r="AB255" s="120"/>
      <c r="AC255" s="120"/>
      <c r="AD255" s="120"/>
      <c r="AE255" s="120"/>
      <c r="AF255" s="120"/>
    </row>
    <row r="256" ht="13.5" customHeight="1">
      <c r="A256" s="120"/>
      <c r="B256" s="120"/>
      <c r="C256" s="120"/>
      <c r="D256" s="120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  <c r="AA256" s="120"/>
      <c r="AB256" s="120"/>
      <c r="AC256" s="120"/>
      <c r="AD256" s="120"/>
      <c r="AE256" s="120"/>
      <c r="AF256" s="120"/>
    </row>
    <row r="257" ht="13.5" customHeight="1">
      <c r="A257" s="120"/>
      <c r="B257" s="120"/>
      <c r="C257" s="120"/>
      <c r="D257" s="120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  <c r="AA257" s="120"/>
      <c r="AB257" s="120"/>
      <c r="AC257" s="120"/>
      <c r="AD257" s="120"/>
      <c r="AE257" s="120"/>
      <c r="AF257" s="120"/>
    </row>
    <row r="258" ht="13.5" customHeight="1">
      <c r="A258" s="120"/>
      <c r="B258" s="120"/>
      <c r="C258" s="120"/>
      <c r="D258" s="120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  <c r="AA258" s="120"/>
      <c r="AB258" s="120"/>
      <c r="AC258" s="120"/>
      <c r="AD258" s="120"/>
      <c r="AE258" s="120"/>
      <c r="AF258" s="120"/>
    </row>
    <row r="259" ht="13.5" customHeight="1">
      <c r="A259" s="120"/>
      <c r="B259" s="120"/>
      <c r="C259" s="120"/>
      <c r="D259" s="120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  <c r="AA259" s="120"/>
      <c r="AB259" s="120"/>
      <c r="AC259" s="120"/>
      <c r="AD259" s="120"/>
      <c r="AE259" s="120"/>
      <c r="AF259" s="120"/>
    </row>
    <row r="260" ht="13.5" customHeight="1">
      <c r="A260" s="120"/>
      <c r="B260" s="120"/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  <c r="AA260" s="120"/>
      <c r="AB260" s="120"/>
      <c r="AC260" s="120"/>
      <c r="AD260" s="120"/>
      <c r="AE260" s="120"/>
      <c r="AF260" s="120"/>
    </row>
    <row r="261" ht="13.5" customHeight="1">
      <c r="A261" s="120"/>
      <c r="B261" s="120"/>
      <c r="C261" s="120"/>
      <c r="D261" s="120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  <c r="AA261" s="120"/>
      <c r="AB261" s="120"/>
      <c r="AC261" s="120"/>
      <c r="AD261" s="120"/>
      <c r="AE261" s="120"/>
      <c r="AF261" s="120"/>
    </row>
    <row r="262" ht="13.5" customHeight="1">
      <c r="A262" s="120"/>
      <c r="B262" s="120"/>
      <c r="C262" s="120"/>
      <c r="D262" s="120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  <c r="AA262" s="120"/>
      <c r="AB262" s="120"/>
      <c r="AC262" s="120"/>
      <c r="AD262" s="120"/>
      <c r="AE262" s="120"/>
      <c r="AF262" s="120"/>
    </row>
    <row r="263" ht="13.5" customHeight="1">
      <c r="A263" s="120"/>
      <c r="B263" s="120"/>
      <c r="C263" s="120"/>
      <c r="D263" s="120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  <c r="AA263" s="120"/>
      <c r="AB263" s="120"/>
      <c r="AC263" s="120"/>
      <c r="AD263" s="120"/>
      <c r="AE263" s="120"/>
      <c r="AF263" s="120"/>
    </row>
    <row r="264" ht="13.5" customHeight="1">
      <c r="A264" s="120"/>
      <c r="B264" s="120"/>
      <c r="C264" s="120"/>
      <c r="D264" s="120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  <c r="AA264" s="120"/>
      <c r="AB264" s="120"/>
      <c r="AC264" s="120"/>
      <c r="AD264" s="120"/>
      <c r="AE264" s="120"/>
      <c r="AF264" s="120"/>
    </row>
    <row r="265" ht="13.5" customHeight="1">
      <c r="A265" s="120"/>
      <c r="B265" s="120"/>
      <c r="C265" s="120"/>
      <c r="D265" s="120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  <c r="AA265" s="120"/>
      <c r="AB265" s="120"/>
      <c r="AC265" s="120"/>
      <c r="AD265" s="120"/>
      <c r="AE265" s="120"/>
      <c r="AF265" s="120"/>
    </row>
    <row r="266" ht="13.5" customHeight="1">
      <c r="A266" s="120"/>
      <c r="B266" s="120"/>
      <c r="C266" s="120"/>
      <c r="D266" s="120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  <c r="AA266" s="120"/>
      <c r="AB266" s="120"/>
      <c r="AC266" s="120"/>
      <c r="AD266" s="120"/>
      <c r="AE266" s="120"/>
      <c r="AF266" s="120"/>
    </row>
    <row r="267" ht="13.5" customHeight="1">
      <c r="A267" s="120"/>
      <c r="B267" s="120"/>
      <c r="C267" s="120"/>
      <c r="D267" s="120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  <c r="AA267" s="120"/>
      <c r="AB267" s="120"/>
      <c r="AC267" s="120"/>
      <c r="AD267" s="120"/>
      <c r="AE267" s="120"/>
      <c r="AF267" s="120"/>
    </row>
    <row r="268" ht="13.5" customHeight="1">
      <c r="A268" s="120"/>
      <c r="B268" s="120"/>
      <c r="C268" s="120"/>
      <c r="D268" s="120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  <c r="AA268" s="120"/>
      <c r="AB268" s="120"/>
      <c r="AC268" s="120"/>
      <c r="AD268" s="120"/>
      <c r="AE268" s="120"/>
      <c r="AF268" s="120"/>
    </row>
    <row r="269" ht="13.5" customHeight="1">
      <c r="A269" s="120"/>
      <c r="B269" s="120"/>
      <c r="C269" s="120"/>
      <c r="D269" s="120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  <c r="AA269" s="120"/>
      <c r="AB269" s="120"/>
      <c r="AC269" s="120"/>
      <c r="AD269" s="120"/>
      <c r="AE269" s="120"/>
      <c r="AF269" s="120"/>
    </row>
    <row r="270" ht="13.5" customHeight="1">
      <c r="A270" s="120"/>
      <c r="B270" s="120"/>
      <c r="C270" s="120"/>
      <c r="D270" s="120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  <c r="AA270" s="120"/>
      <c r="AB270" s="120"/>
      <c r="AC270" s="120"/>
      <c r="AD270" s="120"/>
      <c r="AE270" s="120"/>
      <c r="AF270" s="120"/>
    </row>
    <row r="271" ht="13.5" customHeight="1">
      <c r="A271" s="120"/>
      <c r="B271" s="120"/>
      <c r="C271" s="120"/>
      <c r="D271" s="120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  <c r="AA271" s="120"/>
      <c r="AB271" s="120"/>
      <c r="AC271" s="120"/>
      <c r="AD271" s="120"/>
      <c r="AE271" s="120"/>
      <c r="AF271" s="120"/>
    </row>
    <row r="272" ht="13.5" customHeight="1">
      <c r="A272" s="120"/>
      <c r="B272" s="120"/>
      <c r="C272" s="120"/>
      <c r="D272" s="120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  <c r="AA272" s="120"/>
      <c r="AB272" s="120"/>
      <c r="AC272" s="120"/>
      <c r="AD272" s="120"/>
      <c r="AE272" s="120"/>
      <c r="AF272" s="120"/>
    </row>
    <row r="273" ht="13.5" customHeight="1">
      <c r="A273" s="120"/>
      <c r="B273" s="120"/>
      <c r="C273" s="120"/>
      <c r="D273" s="120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  <c r="AA273" s="120"/>
      <c r="AB273" s="120"/>
      <c r="AC273" s="120"/>
      <c r="AD273" s="120"/>
      <c r="AE273" s="120"/>
      <c r="AF273" s="120"/>
    </row>
    <row r="274" ht="13.5" customHeight="1">
      <c r="A274" s="120"/>
      <c r="B274" s="120"/>
      <c r="C274" s="120"/>
      <c r="D274" s="120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  <c r="AA274" s="120"/>
      <c r="AB274" s="120"/>
      <c r="AC274" s="120"/>
      <c r="AD274" s="120"/>
      <c r="AE274" s="120"/>
      <c r="AF274" s="120"/>
    </row>
    <row r="275" ht="13.5" customHeight="1">
      <c r="A275" s="120"/>
      <c r="B275" s="120"/>
      <c r="C275" s="120"/>
      <c r="D275" s="120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  <c r="AA275" s="120"/>
      <c r="AB275" s="120"/>
      <c r="AC275" s="120"/>
      <c r="AD275" s="120"/>
      <c r="AE275" s="120"/>
      <c r="AF275" s="120"/>
    </row>
    <row r="276" ht="13.5" customHeight="1">
      <c r="A276" s="120"/>
      <c r="B276" s="120"/>
      <c r="C276" s="120"/>
      <c r="D276" s="120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  <c r="AA276" s="120"/>
      <c r="AB276" s="120"/>
      <c r="AC276" s="120"/>
      <c r="AD276" s="120"/>
      <c r="AE276" s="120"/>
      <c r="AF276" s="120"/>
    </row>
    <row r="277" ht="13.5" customHeight="1">
      <c r="A277" s="120"/>
      <c r="B277" s="120"/>
      <c r="C277" s="120"/>
      <c r="D277" s="120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  <c r="AA277" s="120"/>
      <c r="AB277" s="120"/>
      <c r="AC277" s="120"/>
      <c r="AD277" s="120"/>
      <c r="AE277" s="120"/>
      <c r="AF277" s="120"/>
    </row>
    <row r="278" ht="13.5" customHeight="1">
      <c r="A278" s="120"/>
      <c r="B278" s="120"/>
      <c r="C278" s="120"/>
      <c r="D278" s="120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  <c r="AA278" s="120"/>
      <c r="AB278" s="120"/>
      <c r="AC278" s="120"/>
      <c r="AD278" s="120"/>
      <c r="AE278" s="120"/>
      <c r="AF278" s="120"/>
    </row>
    <row r="279" ht="13.5" customHeight="1">
      <c r="A279" s="120"/>
      <c r="B279" s="120"/>
      <c r="C279" s="120"/>
      <c r="D279" s="120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  <c r="AA279" s="120"/>
      <c r="AB279" s="120"/>
      <c r="AC279" s="120"/>
      <c r="AD279" s="120"/>
      <c r="AE279" s="120"/>
      <c r="AF279" s="120"/>
    </row>
    <row r="280" ht="13.5" customHeight="1">
      <c r="A280" s="120"/>
      <c r="B280" s="120"/>
      <c r="C280" s="120"/>
      <c r="D280" s="120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  <c r="AA280" s="120"/>
      <c r="AB280" s="120"/>
      <c r="AC280" s="120"/>
      <c r="AD280" s="120"/>
      <c r="AE280" s="120"/>
      <c r="AF280" s="120"/>
    </row>
    <row r="281" ht="13.5" customHeight="1">
      <c r="A281" s="120"/>
      <c r="B281" s="120"/>
      <c r="C281" s="120"/>
      <c r="D281" s="120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  <c r="AA281" s="120"/>
      <c r="AB281" s="120"/>
      <c r="AC281" s="120"/>
      <c r="AD281" s="120"/>
      <c r="AE281" s="120"/>
      <c r="AF281" s="120"/>
    </row>
    <row r="282" ht="13.5" customHeight="1">
      <c r="A282" s="120"/>
      <c r="B282" s="120"/>
      <c r="C282" s="120"/>
      <c r="D282" s="120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  <c r="AA282" s="120"/>
      <c r="AB282" s="120"/>
      <c r="AC282" s="120"/>
      <c r="AD282" s="120"/>
      <c r="AE282" s="120"/>
      <c r="AF282" s="120"/>
    </row>
    <row r="283" ht="13.5" customHeight="1">
      <c r="A283" s="120"/>
      <c r="B283" s="120"/>
      <c r="C283" s="120"/>
      <c r="D283" s="120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  <c r="AA283" s="120"/>
      <c r="AB283" s="120"/>
      <c r="AC283" s="120"/>
      <c r="AD283" s="120"/>
      <c r="AE283" s="120"/>
      <c r="AF283" s="120"/>
    </row>
    <row r="284" ht="13.5" customHeight="1">
      <c r="A284" s="120"/>
      <c r="B284" s="120"/>
      <c r="C284" s="120"/>
      <c r="D284" s="120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  <c r="AA284" s="120"/>
      <c r="AB284" s="120"/>
      <c r="AC284" s="120"/>
      <c r="AD284" s="120"/>
      <c r="AE284" s="120"/>
      <c r="AF284" s="120"/>
    </row>
    <row r="285" ht="13.5" customHeight="1">
      <c r="A285" s="120"/>
      <c r="B285" s="120"/>
      <c r="C285" s="120"/>
      <c r="D285" s="120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  <c r="AA285" s="120"/>
      <c r="AB285" s="120"/>
      <c r="AC285" s="120"/>
      <c r="AD285" s="120"/>
      <c r="AE285" s="120"/>
      <c r="AF285" s="120"/>
    </row>
    <row r="286" ht="13.5" customHeight="1">
      <c r="A286" s="120"/>
      <c r="B286" s="120"/>
      <c r="C286" s="120"/>
      <c r="D286" s="120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  <c r="AA286" s="120"/>
      <c r="AB286" s="120"/>
      <c r="AC286" s="120"/>
      <c r="AD286" s="120"/>
      <c r="AE286" s="120"/>
      <c r="AF286" s="120"/>
    </row>
    <row r="287" ht="13.5" customHeight="1">
      <c r="A287" s="120"/>
      <c r="B287" s="120"/>
      <c r="C287" s="120"/>
      <c r="D287" s="120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  <c r="AA287" s="120"/>
      <c r="AB287" s="120"/>
      <c r="AC287" s="120"/>
      <c r="AD287" s="120"/>
      <c r="AE287" s="120"/>
      <c r="AF287" s="120"/>
    </row>
    <row r="288" ht="13.5" customHeight="1">
      <c r="A288" s="120"/>
      <c r="B288" s="120"/>
      <c r="C288" s="120"/>
      <c r="D288" s="120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  <c r="AA288" s="120"/>
      <c r="AB288" s="120"/>
      <c r="AC288" s="120"/>
      <c r="AD288" s="120"/>
      <c r="AE288" s="120"/>
      <c r="AF288" s="120"/>
    </row>
    <row r="289" ht="13.5" customHeight="1">
      <c r="A289" s="120"/>
      <c r="B289" s="120"/>
      <c r="C289" s="120"/>
      <c r="D289" s="120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  <c r="AA289" s="120"/>
      <c r="AB289" s="120"/>
      <c r="AC289" s="120"/>
      <c r="AD289" s="120"/>
      <c r="AE289" s="120"/>
      <c r="AF289" s="120"/>
    </row>
    <row r="290" ht="13.5" customHeight="1">
      <c r="A290" s="120"/>
      <c r="B290" s="120"/>
      <c r="C290" s="120"/>
      <c r="D290" s="120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  <c r="AA290" s="120"/>
      <c r="AB290" s="120"/>
      <c r="AC290" s="120"/>
      <c r="AD290" s="120"/>
      <c r="AE290" s="120"/>
      <c r="AF290" s="120"/>
    </row>
    <row r="291" ht="13.5" customHeight="1">
      <c r="A291" s="120"/>
      <c r="B291" s="120"/>
      <c r="C291" s="120"/>
      <c r="D291" s="120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  <c r="AA291" s="120"/>
      <c r="AB291" s="120"/>
      <c r="AC291" s="120"/>
      <c r="AD291" s="120"/>
      <c r="AE291" s="120"/>
      <c r="AF291" s="120"/>
    </row>
    <row r="292" ht="13.5" customHeight="1">
      <c r="A292" s="120"/>
      <c r="B292" s="120"/>
      <c r="C292" s="120"/>
      <c r="D292" s="120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  <c r="AA292" s="120"/>
      <c r="AB292" s="120"/>
      <c r="AC292" s="120"/>
      <c r="AD292" s="120"/>
      <c r="AE292" s="120"/>
      <c r="AF292" s="120"/>
    </row>
    <row r="293" ht="13.5" customHeight="1">
      <c r="A293" s="120"/>
      <c r="B293" s="120"/>
      <c r="C293" s="120"/>
      <c r="D293" s="120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  <c r="AA293" s="120"/>
      <c r="AB293" s="120"/>
      <c r="AC293" s="120"/>
      <c r="AD293" s="120"/>
      <c r="AE293" s="120"/>
      <c r="AF293" s="120"/>
    </row>
    <row r="294" ht="13.5" customHeight="1">
      <c r="A294" s="120"/>
      <c r="B294" s="120"/>
      <c r="C294" s="120"/>
      <c r="D294" s="120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  <c r="AA294" s="120"/>
      <c r="AB294" s="120"/>
      <c r="AC294" s="120"/>
      <c r="AD294" s="120"/>
      <c r="AE294" s="120"/>
      <c r="AF294" s="120"/>
    </row>
    <row r="295" ht="13.5" customHeight="1">
      <c r="A295" s="120"/>
      <c r="B295" s="120"/>
      <c r="C295" s="120"/>
      <c r="D295" s="120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  <c r="AA295" s="120"/>
      <c r="AB295" s="120"/>
      <c r="AC295" s="120"/>
      <c r="AD295" s="120"/>
      <c r="AE295" s="120"/>
      <c r="AF295" s="120"/>
    </row>
    <row r="296" ht="13.5" customHeight="1">
      <c r="A296" s="120"/>
      <c r="B296" s="120"/>
      <c r="C296" s="120"/>
      <c r="D296" s="120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  <c r="AA296" s="120"/>
      <c r="AB296" s="120"/>
      <c r="AC296" s="120"/>
      <c r="AD296" s="120"/>
      <c r="AE296" s="120"/>
      <c r="AF296" s="120"/>
    </row>
    <row r="297" ht="13.5" customHeight="1">
      <c r="A297" s="120"/>
      <c r="B297" s="120"/>
      <c r="C297" s="120"/>
      <c r="D297" s="120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  <c r="AA297" s="120"/>
      <c r="AB297" s="120"/>
      <c r="AC297" s="120"/>
      <c r="AD297" s="120"/>
      <c r="AE297" s="120"/>
      <c r="AF297" s="120"/>
    </row>
    <row r="298" ht="13.5" customHeight="1">
      <c r="A298" s="120"/>
      <c r="B298" s="120"/>
      <c r="C298" s="120"/>
      <c r="D298" s="120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  <c r="AA298" s="120"/>
      <c r="AB298" s="120"/>
      <c r="AC298" s="120"/>
      <c r="AD298" s="120"/>
      <c r="AE298" s="120"/>
      <c r="AF298" s="120"/>
    </row>
    <row r="299" ht="13.5" customHeight="1">
      <c r="A299" s="120"/>
      <c r="B299" s="120"/>
      <c r="C299" s="120"/>
      <c r="D299" s="120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  <c r="AA299" s="120"/>
      <c r="AB299" s="120"/>
      <c r="AC299" s="120"/>
      <c r="AD299" s="120"/>
      <c r="AE299" s="120"/>
      <c r="AF299" s="120"/>
    </row>
    <row r="300" ht="13.5" customHeight="1">
      <c r="A300" s="120"/>
      <c r="B300" s="120"/>
      <c r="C300" s="120"/>
      <c r="D300" s="120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  <c r="AA300" s="120"/>
      <c r="AB300" s="120"/>
      <c r="AC300" s="120"/>
      <c r="AD300" s="120"/>
      <c r="AE300" s="120"/>
      <c r="AF300" s="120"/>
    </row>
    <row r="301" ht="13.5" customHeight="1">
      <c r="A301" s="120"/>
      <c r="B301" s="120"/>
      <c r="C301" s="120"/>
      <c r="D301" s="120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  <c r="AA301" s="120"/>
      <c r="AB301" s="120"/>
      <c r="AC301" s="120"/>
      <c r="AD301" s="120"/>
      <c r="AE301" s="120"/>
      <c r="AF301" s="120"/>
    </row>
    <row r="302" ht="13.5" customHeight="1">
      <c r="A302" s="120"/>
      <c r="B302" s="120"/>
      <c r="C302" s="120"/>
      <c r="D302" s="120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  <c r="AA302" s="120"/>
      <c r="AB302" s="120"/>
      <c r="AC302" s="120"/>
      <c r="AD302" s="120"/>
      <c r="AE302" s="120"/>
      <c r="AF302" s="120"/>
    </row>
    <row r="303" ht="13.5" customHeight="1">
      <c r="A303" s="120"/>
      <c r="B303" s="120"/>
      <c r="C303" s="120"/>
      <c r="D303" s="120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  <c r="AA303" s="120"/>
      <c r="AB303" s="120"/>
      <c r="AC303" s="120"/>
      <c r="AD303" s="120"/>
      <c r="AE303" s="120"/>
      <c r="AF303" s="120"/>
    </row>
    <row r="304" ht="13.5" customHeight="1">
      <c r="A304" s="120"/>
      <c r="B304" s="120"/>
      <c r="C304" s="120"/>
      <c r="D304" s="120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  <c r="AA304" s="120"/>
      <c r="AB304" s="120"/>
      <c r="AC304" s="120"/>
      <c r="AD304" s="120"/>
      <c r="AE304" s="120"/>
      <c r="AF304" s="120"/>
    </row>
    <row r="305" ht="13.5" customHeight="1">
      <c r="A305" s="120"/>
      <c r="B305" s="120"/>
      <c r="C305" s="120"/>
      <c r="D305" s="120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  <c r="AA305" s="120"/>
      <c r="AB305" s="120"/>
      <c r="AC305" s="120"/>
      <c r="AD305" s="120"/>
      <c r="AE305" s="120"/>
      <c r="AF305" s="120"/>
    </row>
    <row r="306" ht="13.5" customHeight="1">
      <c r="A306" s="120"/>
      <c r="B306" s="120"/>
      <c r="C306" s="120"/>
      <c r="D306" s="120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  <c r="AA306" s="120"/>
      <c r="AB306" s="120"/>
      <c r="AC306" s="120"/>
      <c r="AD306" s="120"/>
      <c r="AE306" s="120"/>
      <c r="AF306" s="120"/>
    </row>
    <row r="307" ht="13.5" customHeight="1">
      <c r="A307" s="120"/>
      <c r="B307" s="120"/>
      <c r="C307" s="120"/>
      <c r="D307" s="120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  <c r="AA307" s="120"/>
      <c r="AB307" s="120"/>
      <c r="AC307" s="120"/>
      <c r="AD307" s="120"/>
      <c r="AE307" s="120"/>
      <c r="AF307" s="120"/>
    </row>
    <row r="308" ht="13.5" customHeight="1">
      <c r="A308" s="120"/>
      <c r="B308" s="120"/>
      <c r="C308" s="120"/>
      <c r="D308" s="120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  <c r="AA308" s="120"/>
      <c r="AB308" s="120"/>
      <c r="AC308" s="120"/>
      <c r="AD308" s="120"/>
      <c r="AE308" s="120"/>
      <c r="AF308" s="120"/>
    </row>
    <row r="309" ht="13.5" customHeight="1">
      <c r="A309" s="120"/>
      <c r="B309" s="120"/>
      <c r="C309" s="120"/>
      <c r="D309" s="120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  <c r="AA309" s="120"/>
      <c r="AB309" s="120"/>
      <c r="AC309" s="120"/>
      <c r="AD309" s="120"/>
      <c r="AE309" s="120"/>
      <c r="AF309" s="120"/>
    </row>
    <row r="310" ht="13.5" customHeight="1">
      <c r="A310" s="120"/>
      <c r="B310" s="120"/>
      <c r="C310" s="120"/>
      <c r="D310" s="120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  <c r="AA310" s="120"/>
      <c r="AB310" s="120"/>
      <c r="AC310" s="120"/>
      <c r="AD310" s="120"/>
      <c r="AE310" s="120"/>
      <c r="AF310" s="120"/>
    </row>
    <row r="311" ht="13.5" customHeight="1">
      <c r="A311" s="120"/>
      <c r="B311" s="120"/>
      <c r="C311" s="120"/>
      <c r="D311" s="120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  <c r="AA311" s="120"/>
      <c r="AB311" s="120"/>
      <c r="AC311" s="120"/>
      <c r="AD311" s="120"/>
      <c r="AE311" s="120"/>
      <c r="AF311" s="120"/>
    </row>
    <row r="312" ht="13.5" customHeight="1">
      <c r="A312" s="120"/>
      <c r="B312" s="120"/>
      <c r="C312" s="120"/>
      <c r="D312" s="120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  <c r="AA312" s="120"/>
      <c r="AB312" s="120"/>
      <c r="AC312" s="120"/>
      <c r="AD312" s="120"/>
      <c r="AE312" s="120"/>
      <c r="AF312" s="120"/>
    </row>
    <row r="313" ht="13.5" customHeight="1">
      <c r="A313" s="120"/>
      <c r="B313" s="120"/>
      <c r="C313" s="120"/>
      <c r="D313" s="120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  <c r="AA313" s="120"/>
      <c r="AB313" s="120"/>
      <c r="AC313" s="120"/>
      <c r="AD313" s="120"/>
      <c r="AE313" s="120"/>
      <c r="AF313" s="120"/>
    </row>
    <row r="314" ht="13.5" customHeight="1">
      <c r="A314" s="120"/>
      <c r="B314" s="120"/>
      <c r="C314" s="120"/>
      <c r="D314" s="120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  <c r="AA314" s="120"/>
      <c r="AB314" s="120"/>
      <c r="AC314" s="120"/>
      <c r="AD314" s="120"/>
      <c r="AE314" s="120"/>
      <c r="AF314" s="120"/>
    </row>
    <row r="315" ht="13.5" customHeight="1">
      <c r="A315" s="120"/>
      <c r="B315" s="120"/>
      <c r="C315" s="120"/>
      <c r="D315" s="120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  <c r="AA315" s="120"/>
      <c r="AB315" s="120"/>
      <c r="AC315" s="120"/>
      <c r="AD315" s="120"/>
      <c r="AE315" s="120"/>
      <c r="AF315" s="120"/>
    </row>
    <row r="316" ht="13.5" customHeight="1">
      <c r="A316" s="120"/>
      <c r="B316" s="120"/>
      <c r="C316" s="120"/>
      <c r="D316" s="120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  <c r="AA316" s="120"/>
      <c r="AB316" s="120"/>
      <c r="AC316" s="120"/>
      <c r="AD316" s="120"/>
      <c r="AE316" s="120"/>
      <c r="AF316" s="120"/>
    </row>
    <row r="317" ht="13.5" customHeight="1">
      <c r="A317" s="120"/>
      <c r="B317" s="120"/>
      <c r="C317" s="120"/>
      <c r="D317" s="120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  <c r="AA317" s="120"/>
      <c r="AB317" s="120"/>
      <c r="AC317" s="120"/>
      <c r="AD317" s="120"/>
      <c r="AE317" s="120"/>
      <c r="AF317" s="120"/>
    </row>
    <row r="318" ht="13.5" customHeight="1">
      <c r="A318" s="120"/>
      <c r="B318" s="120"/>
      <c r="C318" s="120"/>
      <c r="D318" s="120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  <c r="AA318" s="120"/>
      <c r="AB318" s="120"/>
      <c r="AC318" s="120"/>
      <c r="AD318" s="120"/>
      <c r="AE318" s="120"/>
      <c r="AF318" s="120"/>
    </row>
    <row r="319" ht="13.5" customHeight="1">
      <c r="A319" s="120"/>
      <c r="B319" s="120"/>
      <c r="C319" s="120"/>
      <c r="D319" s="120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  <c r="AA319" s="120"/>
      <c r="AB319" s="120"/>
      <c r="AC319" s="120"/>
      <c r="AD319" s="120"/>
      <c r="AE319" s="120"/>
      <c r="AF319" s="120"/>
    </row>
    <row r="320" ht="13.5" customHeight="1">
      <c r="A320" s="120"/>
      <c r="B320" s="120"/>
      <c r="C320" s="120"/>
      <c r="D320" s="120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  <c r="AA320" s="120"/>
      <c r="AB320" s="120"/>
      <c r="AC320" s="120"/>
      <c r="AD320" s="120"/>
      <c r="AE320" s="120"/>
      <c r="AF320" s="120"/>
    </row>
    <row r="321" ht="13.5" customHeight="1">
      <c r="A321" s="120"/>
      <c r="B321" s="120"/>
      <c r="C321" s="120"/>
      <c r="D321" s="120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  <c r="AA321" s="120"/>
      <c r="AB321" s="120"/>
      <c r="AC321" s="120"/>
      <c r="AD321" s="120"/>
      <c r="AE321" s="120"/>
      <c r="AF321" s="120"/>
    </row>
    <row r="322" ht="13.5" customHeight="1">
      <c r="A322" s="120"/>
      <c r="B322" s="120"/>
      <c r="C322" s="120"/>
      <c r="D322" s="120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  <c r="AA322" s="120"/>
      <c r="AB322" s="120"/>
      <c r="AC322" s="120"/>
      <c r="AD322" s="120"/>
      <c r="AE322" s="120"/>
      <c r="AF322" s="120"/>
    </row>
    <row r="323" ht="13.5" customHeight="1">
      <c r="A323" s="120"/>
      <c r="B323" s="120"/>
      <c r="C323" s="120"/>
      <c r="D323" s="120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  <c r="AA323" s="120"/>
      <c r="AB323" s="120"/>
      <c r="AC323" s="120"/>
      <c r="AD323" s="120"/>
      <c r="AE323" s="120"/>
      <c r="AF323" s="120"/>
    </row>
    <row r="324" ht="13.5" customHeight="1">
      <c r="A324" s="120"/>
      <c r="B324" s="120"/>
      <c r="C324" s="120"/>
      <c r="D324" s="120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  <c r="AA324" s="120"/>
      <c r="AB324" s="120"/>
      <c r="AC324" s="120"/>
      <c r="AD324" s="120"/>
      <c r="AE324" s="120"/>
      <c r="AF324" s="120"/>
    </row>
    <row r="325" ht="13.5" customHeight="1">
      <c r="A325" s="120"/>
      <c r="B325" s="120"/>
      <c r="C325" s="120"/>
      <c r="D325" s="120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  <c r="AA325" s="120"/>
      <c r="AB325" s="120"/>
      <c r="AC325" s="120"/>
      <c r="AD325" s="120"/>
      <c r="AE325" s="120"/>
      <c r="AF325" s="120"/>
    </row>
    <row r="326" ht="13.5" customHeight="1">
      <c r="A326" s="120"/>
      <c r="B326" s="120"/>
      <c r="C326" s="120"/>
      <c r="D326" s="120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  <c r="AA326" s="120"/>
      <c r="AB326" s="120"/>
      <c r="AC326" s="120"/>
      <c r="AD326" s="120"/>
      <c r="AE326" s="120"/>
      <c r="AF326" s="120"/>
    </row>
    <row r="327" ht="13.5" customHeight="1">
      <c r="A327" s="120"/>
      <c r="B327" s="120"/>
      <c r="C327" s="120"/>
      <c r="D327" s="120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  <c r="AA327" s="120"/>
      <c r="AB327" s="120"/>
      <c r="AC327" s="120"/>
      <c r="AD327" s="120"/>
      <c r="AE327" s="120"/>
      <c r="AF327" s="120"/>
    </row>
    <row r="328" ht="13.5" customHeight="1">
      <c r="A328" s="120"/>
      <c r="B328" s="120"/>
      <c r="C328" s="120"/>
      <c r="D328" s="120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  <c r="AA328" s="120"/>
      <c r="AB328" s="120"/>
      <c r="AC328" s="120"/>
      <c r="AD328" s="120"/>
      <c r="AE328" s="120"/>
      <c r="AF328" s="120"/>
    </row>
    <row r="329" ht="13.5" customHeight="1">
      <c r="A329" s="120"/>
      <c r="B329" s="120"/>
      <c r="C329" s="120"/>
      <c r="D329" s="120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  <c r="AA329" s="120"/>
      <c r="AB329" s="120"/>
      <c r="AC329" s="120"/>
      <c r="AD329" s="120"/>
      <c r="AE329" s="120"/>
      <c r="AF329" s="120"/>
    </row>
    <row r="330" ht="13.5" customHeight="1">
      <c r="A330" s="120"/>
      <c r="B330" s="120"/>
      <c r="C330" s="120"/>
      <c r="D330" s="120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  <c r="AA330" s="120"/>
      <c r="AB330" s="120"/>
      <c r="AC330" s="120"/>
      <c r="AD330" s="120"/>
      <c r="AE330" s="120"/>
      <c r="AF330" s="120"/>
    </row>
    <row r="331" ht="13.5" customHeight="1">
      <c r="A331" s="120"/>
      <c r="B331" s="120"/>
      <c r="C331" s="120"/>
      <c r="D331" s="120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  <c r="AA331" s="120"/>
      <c r="AB331" s="120"/>
      <c r="AC331" s="120"/>
      <c r="AD331" s="120"/>
      <c r="AE331" s="120"/>
      <c r="AF331" s="120"/>
    </row>
    <row r="332" ht="13.5" customHeight="1">
      <c r="A332" s="120"/>
      <c r="B332" s="120"/>
      <c r="C332" s="120"/>
      <c r="D332" s="120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  <c r="AA332" s="120"/>
      <c r="AB332" s="120"/>
      <c r="AC332" s="120"/>
      <c r="AD332" s="120"/>
      <c r="AE332" s="120"/>
      <c r="AF332" s="120"/>
    </row>
    <row r="333" ht="13.5" customHeight="1">
      <c r="A333" s="120"/>
      <c r="B333" s="120"/>
      <c r="C333" s="120"/>
      <c r="D333" s="120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  <c r="AA333" s="120"/>
      <c r="AB333" s="120"/>
      <c r="AC333" s="120"/>
      <c r="AD333" s="120"/>
      <c r="AE333" s="120"/>
      <c r="AF333" s="120"/>
    </row>
    <row r="334" ht="13.5" customHeight="1">
      <c r="A334" s="120"/>
      <c r="B334" s="120"/>
      <c r="C334" s="120"/>
      <c r="D334" s="120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  <c r="AA334" s="120"/>
      <c r="AB334" s="120"/>
      <c r="AC334" s="120"/>
      <c r="AD334" s="120"/>
      <c r="AE334" s="120"/>
      <c r="AF334" s="120"/>
    </row>
    <row r="335" ht="13.5" customHeight="1">
      <c r="A335" s="120"/>
      <c r="B335" s="120"/>
      <c r="C335" s="120"/>
      <c r="D335" s="120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  <c r="AA335" s="120"/>
      <c r="AB335" s="120"/>
      <c r="AC335" s="120"/>
      <c r="AD335" s="120"/>
      <c r="AE335" s="120"/>
      <c r="AF335" s="120"/>
    </row>
    <row r="336" ht="13.5" customHeight="1">
      <c r="A336" s="120"/>
      <c r="B336" s="120"/>
      <c r="C336" s="120"/>
      <c r="D336" s="120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  <c r="AA336" s="120"/>
      <c r="AB336" s="120"/>
      <c r="AC336" s="120"/>
      <c r="AD336" s="120"/>
      <c r="AE336" s="120"/>
      <c r="AF336" s="120"/>
    </row>
    <row r="337" ht="13.5" customHeight="1">
      <c r="A337" s="120"/>
      <c r="B337" s="120"/>
      <c r="C337" s="120"/>
      <c r="D337" s="120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  <c r="AA337" s="120"/>
      <c r="AB337" s="120"/>
      <c r="AC337" s="120"/>
      <c r="AD337" s="120"/>
      <c r="AE337" s="120"/>
      <c r="AF337" s="120"/>
    </row>
    <row r="338" ht="13.5" customHeight="1">
      <c r="A338" s="120"/>
      <c r="B338" s="120"/>
      <c r="C338" s="120"/>
      <c r="D338" s="120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  <c r="AA338" s="120"/>
      <c r="AB338" s="120"/>
      <c r="AC338" s="120"/>
      <c r="AD338" s="120"/>
      <c r="AE338" s="120"/>
      <c r="AF338" s="120"/>
    </row>
    <row r="339" ht="13.5" customHeight="1">
      <c r="A339" s="120"/>
      <c r="B339" s="120"/>
      <c r="C339" s="120"/>
      <c r="D339" s="120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  <c r="AA339" s="120"/>
      <c r="AB339" s="120"/>
      <c r="AC339" s="120"/>
      <c r="AD339" s="120"/>
      <c r="AE339" s="120"/>
      <c r="AF339" s="120"/>
    </row>
    <row r="340" ht="13.5" customHeight="1">
      <c r="A340" s="120"/>
      <c r="B340" s="120"/>
      <c r="C340" s="120"/>
      <c r="D340" s="120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  <c r="AA340" s="120"/>
      <c r="AB340" s="120"/>
      <c r="AC340" s="120"/>
      <c r="AD340" s="120"/>
      <c r="AE340" s="120"/>
      <c r="AF340" s="120"/>
    </row>
    <row r="341" ht="13.5" customHeight="1">
      <c r="A341" s="120"/>
      <c r="B341" s="120"/>
      <c r="C341" s="120"/>
      <c r="D341" s="120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  <c r="AA341" s="120"/>
      <c r="AB341" s="120"/>
      <c r="AC341" s="120"/>
      <c r="AD341" s="120"/>
      <c r="AE341" s="120"/>
      <c r="AF341" s="120"/>
    </row>
    <row r="342" ht="13.5" customHeight="1">
      <c r="A342" s="120"/>
      <c r="B342" s="120"/>
      <c r="C342" s="120"/>
      <c r="D342" s="120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  <c r="AA342" s="120"/>
      <c r="AB342" s="120"/>
      <c r="AC342" s="120"/>
      <c r="AD342" s="120"/>
      <c r="AE342" s="120"/>
      <c r="AF342" s="120"/>
    </row>
    <row r="343" ht="13.5" customHeight="1">
      <c r="A343" s="120"/>
      <c r="B343" s="120"/>
      <c r="C343" s="120"/>
      <c r="D343" s="120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  <c r="AA343" s="120"/>
      <c r="AB343" s="120"/>
      <c r="AC343" s="120"/>
      <c r="AD343" s="120"/>
      <c r="AE343" s="120"/>
      <c r="AF343" s="120"/>
    </row>
    <row r="344" ht="13.5" customHeight="1">
      <c r="A344" s="120"/>
      <c r="B344" s="120"/>
      <c r="C344" s="120"/>
      <c r="D344" s="120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  <c r="AA344" s="120"/>
      <c r="AB344" s="120"/>
      <c r="AC344" s="120"/>
      <c r="AD344" s="120"/>
      <c r="AE344" s="120"/>
      <c r="AF344" s="120"/>
    </row>
    <row r="345" ht="13.5" customHeight="1">
      <c r="A345" s="120"/>
      <c r="B345" s="120"/>
      <c r="C345" s="120"/>
      <c r="D345" s="120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  <c r="AA345" s="120"/>
      <c r="AB345" s="120"/>
      <c r="AC345" s="120"/>
      <c r="AD345" s="120"/>
      <c r="AE345" s="120"/>
      <c r="AF345" s="120"/>
    </row>
    <row r="346" ht="13.5" customHeight="1">
      <c r="A346" s="120"/>
      <c r="B346" s="120"/>
      <c r="C346" s="120"/>
      <c r="D346" s="120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  <c r="AA346" s="120"/>
      <c r="AB346" s="120"/>
      <c r="AC346" s="120"/>
      <c r="AD346" s="120"/>
      <c r="AE346" s="120"/>
      <c r="AF346" s="120"/>
    </row>
    <row r="347" ht="13.5" customHeight="1">
      <c r="A347" s="120"/>
      <c r="B347" s="120"/>
      <c r="C347" s="120"/>
      <c r="D347" s="120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  <c r="AA347" s="120"/>
      <c r="AB347" s="120"/>
      <c r="AC347" s="120"/>
      <c r="AD347" s="120"/>
      <c r="AE347" s="120"/>
      <c r="AF347" s="120"/>
    </row>
    <row r="348" ht="13.5" customHeight="1">
      <c r="A348" s="120"/>
      <c r="B348" s="120"/>
      <c r="C348" s="120"/>
      <c r="D348" s="120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  <c r="AA348" s="120"/>
      <c r="AB348" s="120"/>
      <c r="AC348" s="120"/>
      <c r="AD348" s="120"/>
      <c r="AE348" s="120"/>
      <c r="AF348" s="120"/>
    </row>
    <row r="349" ht="13.5" customHeight="1">
      <c r="A349" s="120"/>
      <c r="B349" s="120"/>
      <c r="C349" s="120"/>
      <c r="D349" s="120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  <c r="AA349" s="120"/>
      <c r="AB349" s="120"/>
      <c r="AC349" s="120"/>
      <c r="AD349" s="120"/>
      <c r="AE349" s="120"/>
      <c r="AF349" s="120"/>
    </row>
    <row r="350" ht="13.5" customHeight="1">
      <c r="A350" s="120"/>
      <c r="B350" s="120"/>
      <c r="C350" s="120"/>
      <c r="D350" s="120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  <c r="AA350" s="120"/>
      <c r="AB350" s="120"/>
      <c r="AC350" s="120"/>
      <c r="AD350" s="120"/>
      <c r="AE350" s="120"/>
      <c r="AF350" s="120"/>
    </row>
    <row r="351" ht="13.5" customHeight="1">
      <c r="A351" s="120"/>
      <c r="B351" s="120"/>
      <c r="C351" s="120"/>
      <c r="D351" s="120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  <c r="AA351" s="120"/>
      <c r="AB351" s="120"/>
      <c r="AC351" s="120"/>
      <c r="AD351" s="120"/>
      <c r="AE351" s="120"/>
      <c r="AF351" s="120"/>
    </row>
    <row r="352" ht="13.5" customHeight="1">
      <c r="A352" s="120"/>
      <c r="B352" s="120"/>
      <c r="C352" s="120"/>
      <c r="D352" s="120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  <c r="AA352" s="120"/>
      <c r="AB352" s="120"/>
      <c r="AC352" s="120"/>
      <c r="AD352" s="120"/>
      <c r="AE352" s="120"/>
      <c r="AF352" s="120"/>
    </row>
    <row r="353" ht="13.5" customHeight="1">
      <c r="A353" s="120"/>
      <c r="B353" s="120"/>
      <c r="C353" s="120"/>
      <c r="D353" s="120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  <c r="AA353" s="120"/>
      <c r="AB353" s="120"/>
      <c r="AC353" s="120"/>
      <c r="AD353" s="120"/>
      <c r="AE353" s="120"/>
      <c r="AF353" s="120"/>
    </row>
    <row r="354" ht="13.5" customHeight="1">
      <c r="A354" s="120"/>
      <c r="B354" s="120"/>
      <c r="C354" s="120"/>
      <c r="D354" s="120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  <c r="AA354" s="120"/>
      <c r="AB354" s="120"/>
      <c r="AC354" s="120"/>
      <c r="AD354" s="120"/>
      <c r="AE354" s="120"/>
      <c r="AF354" s="120"/>
    </row>
    <row r="355" ht="13.5" customHeight="1">
      <c r="A355" s="120"/>
      <c r="B355" s="120"/>
      <c r="C355" s="120"/>
      <c r="D355" s="120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  <c r="AA355" s="120"/>
      <c r="AB355" s="120"/>
      <c r="AC355" s="120"/>
      <c r="AD355" s="120"/>
      <c r="AE355" s="120"/>
      <c r="AF355" s="120"/>
    </row>
    <row r="356" ht="13.5" customHeight="1">
      <c r="A356" s="120"/>
      <c r="B356" s="120"/>
      <c r="C356" s="120"/>
      <c r="D356" s="120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  <c r="AA356" s="120"/>
      <c r="AB356" s="120"/>
      <c r="AC356" s="120"/>
      <c r="AD356" s="120"/>
      <c r="AE356" s="120"/>
      <c r="AF356" s="120"/>
    </row>
    <row r="357" ht="13.5" customHeight="1">
      <c r="A357" s="120"/>
      <c r="B357" s="120"/>
      <c r="C357" s="120"/>
      <c r="D357" s="120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  <c r="AA357" s="120"/>
      <c r="AB357" s="120"/>
      <c r="AC357" s="120"/>
      <c r="AD357" s="120"/>
      <c r="AE357" s="120"/>
      <c r="AF357" s="120"/>
    </row>
    <row r="358" ht="13.5" customHeight="1">
      <c r="A358" s="120"/>
      <c r="B358" s="120"/>
      <c r="C358" s="120"/>
      <c r="D358" s="120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  <c r="AA358" s="120"/>
      <c r="AB358" s="120"/>
      <c r="AC358" s="120"/>
      <c r="AD358" s="120"/>
      <c r="AE358" s="120"/>
      <c r="AF358" s="120"/>
    </row>
    <row r="359" ht="13.5" customHeight="1">
      <c r="A359" s="120"/>
      <c r="B359" s="120"/>
      <c r="C359" s="120"/>
      <c r="D359" s="120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  <c r="AA359" s="120"/>
      <c r="AB359" s="120"/>
      <c r="AC359" s="120"/>
      <c r="AD359" s="120"/>
      <c r="AE359" s="120"/>
      <c r="AF359" s="120"/>
    </row>
    <row r="360" ht="13.5" customHeight="1">
      <c r="A360" s="120"/>
      <c r="B360" s="120"/>
      <c r="C360" s="120"/>
      <c r="D360" s="120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  <c r="AA360" s="120"/>
      <c r="AB360" s="120"/>
      <c r="AC360" s="120"/>
      <c r="AD360" s="120"/>
      <c r="AE360" s="120"/>
      <c r="AF360" s="120"/>
    </row>
    <row r="361" ht="13.5" customHeight="1">
      <c r="A361" s="120"/>
      <c r="B361" s="120"/>
      <c r="C361" s="120"/>
      <c r="D361" s="120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  <c r="AA361" s="120"/>
      <c r="AB361" s="120"/>
      <c r="AC361" s="120"/>
      <c r="AD361" s="120"/>
      <c r="AE361" s="120"/>
      <c r="AF361" s="120"/>
    </row>
    <row r="362" ht="13.5" customHeight="1">
      <c r="A362" s="120"/>
      <c r="B362" s="120"/>
      <c r="C362" s="120"/>
      <c r="D362" s="120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  <c r="AA362" s="120"/>
      <c r="AB362" s="120"/>
      <c r="AC362" s="120"/>
      <c r="AD362" s="120"/>
      <c r="AE362" s="120"/>
      <c r="AF362" s="120"/>
    </row>
    <row r="363" ht="13.5" customHeight="1">
      <c r="A363" s="120"/>
      <c r="B363" s="120"/>
      <c r="C363" s="120"/>
      <c r="D363" s="120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  <c r="AA363" s="120"/>
      <c r="AB363" s="120"/>
      <c r="AC363" s="120"/>
      <c r="AD363" s="120"/>
      <c r="AE363" s="120"/>
      <c r="AF363" s="120"/>
    </row>
    <row r="364" ht="13.5" customHeight="1">
      <c r="A364" s="120"/>
      <c r="B364" s="120"/>
      <c r="C364" s="120"/>
      <c r="D364" s="120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  <c r="AA364" s="120"/>
      <c r="AB364" s="120"/>
      <c r="AC364" s="120"/>
      <c r="AD364" s="120"/>
      <c r="AE364" s="120"/>
      <c r="AF364" s="120"/>
    </row>
    <row r="365" ht="13.5" customHeight="1">
      <c r="A365" s="120"/>
      <c r="B365" s="120"/>
      <c r="C365" s="120"/>
      <c r="D365" s="120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  <c r="AA365" s="120"/>
      <c r="AB365" s="120"/>
      <c r="AC365" s="120"/>
      <c r="AD365" s="120"/>
      <c r="AE365" s="120"/>
      <c r="AF365" s="120"/>
    </row>
    <row r="366" ht="13.5" customHeight="1">
      <c r="A366" s="120"/>
      <c r="B366" s="120"/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  <c r="AA366" s="120"/>
      <c r="AB366" s="120"/>
      <c r="AC366" s="120"/>
      <c r="AD366" s="120"/>
      <c r="AE366" s="120"/>
      <c r="AF366" s="120"/>
    </row>
    <row r="367" ht="13.5" customHeight="1">
      <c r="A367" s="120"/>
      <c r="B367" s="120"/>
      <c r="C367" s="120"/>
      <c r="D367" s="120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  <c r="AA367" s="120"/>
      <c r="AB367" s="120"/>
      <c r="AC367" s="120"/>
      <c r="AD367" s="120"/>
      <c r="AE367" s="120"/>
      <c r="AF367" s="120"/>
    </row>
    <row r="368" ht="13.5" customHeight="1">
      <c r="A368" s="120"/>
      <c r="B368" s="120"/>
      <c r="C368" s="120"/>
      <c r="D368" s="120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  <c r="AA368" s="120"/>
      <c r="AB368" s="120"/>
      <c r="AC368" s="120"/>
      <c r="AD368" s="120"/>
      <c r="AE368" s="120"/>
      <c r="AF368" s="120"/>
    </row>
    <row r="369" ht="13.5" customHeight="1">
      <c r="A369" s="120"/>
      <c r="B369" s="120"/>
      <c r="C369" s="120"/>
      <c r="D369" s="120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  <c r="AA369" s="120"/>
      <c r="AB369" s="120"/>
      <c r="AC369" s="120"/>
      <c r="AD369" s="120"/>
      <c r="AE369" s="120"/>
      <c r="AF369" s="120"/>
    </row>
    <row r="370" ht="13.5" customHeight="1">
      <c r="A370" s="120"/>
      <c r="B370" s="120"/>
      <c r="C370" s="120"/>
      <c r="D370" s="120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  <c r="AA370" s="120"/>
      <c r="AB370" s="120"/>
      <c r="AC370" s="120"/>
      <c r="AD370" s="120"/>
      <c r="AE370" s="120"/>
      <c r="AF370" s="120"/>
    </row>
    <row r="371" ht="13.5" customHeight="1">
      <c r="A371" s="120"/>
      <c r="B371" s="120"/>
      <c r="C371" s="120"/>
      <c r="D371" s="120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  <c r="AA371" s="120"/>
      <c r="AB371" s="120"/>
      <c r="AC371" s="120"/>
      <c r="AD371" s="120"/>
      <c r="AE371" s="120"/>
      <c r="AF371" s="120"/>
    </row>
    <row r="372" ht="13.5" customHeight="1">
      <c r="A372" s="120"/>
      <c r="B372" s="120"/>
      <c r="C372" s="120"/>
      <c r="D372" s="120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  <c r="AA372" s="120"/>
      <c r="AB372" s="120"/>
      <c r="AC372" s="120"/>
      <c r="AD372" s="120"/>
      <c r="AE372" s="120"/>
      <c r="AF372" s="120"/>
    </row>
    <row r="373" ht="13.5" customHeight="1">
      <c r="A373" s="120"/>
      <c r="B373" s="120"/>
      <c r="C373" s="120"/>
      <c r="D373" s="120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  <c r="AA373" s="120"/>
      <c r="AB373" s="120"/>
      <c r="AC373" s="120"/>
      <c r="AD373" s="120"/>
      <c r="AE373" s="120"/>
      <c r="AF373" s="120"/>
    </row>
    <row r="374" ht="13.5" customHeight="1">
      <c r="A374" s="120"/>
      <c r="B374" s="120"/>
      <c r="C374" s="120"/>
      <c r="D374" s="120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  <c r="AA374" s="120"/>
      <c r="AB374" s="120"/>
      <c r="AC374" s="120"/>
      <c r="AD374" s="120"/>
      <c r="AE374" s="120"/>
      <c r="AF374" s="120"/>
    </row>
    <row r="375" ht="13.5" customHeight="1">
      <c r="A375" s="120"/>
      <c r="B375" s="120"/>
      <c r="C375" s="120"/>
      <c r="D375" s="120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  <c r="AA375" s="120"/>
      <c r="AB375" s="120"/>
      <c r="AC375" s="120"/>
      <c r="AD375" s="120"/>
      <c r="AE375" s="120"/>
      <c r="AF375" s="120"/>
    </row>
    <row r="376" ht="13.5" customHeight="1">
      <c r="A376" s="120"/>
      <c r="B376" s="120"/>
      <c r="C376" s="120"/>
      <c r="D376" s="120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  <c r="AA376" s="120"/>
      <c r="AB376" s="120"/>
      <c r="AC376" s="120"/>
      <c r="AD376" s="120"/>
      <c r="AE376" s="120"/>
      <c r="AF376" s="120"/>
    </row>
    <row r="377" ht="13.5" customHeight="1">
      <c r="A377" s="120"/>
      <c r="B377" s="120"/>
      <c r="C377" s="120"/>
      <c r="D377" s="120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  <c r="AA377" s="120"/>
      <c r="AB377" s="120"/>
      <c r="AC377" s="120"/>
      <c r="AD377" s="120"/>
      <c r="AE377" s="120"/>
      <c r="AF377" s="120"/>
    </row>
    <row r="378" ht="13.5" customHeight="1">
      <c r="A378" s="120"/>
      <c r="B378" s="120"/>
      <c r="C378" s="120"/>
      <c r="D378" s="120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  <c r="AA378" s="120"/>
      <c r="AB378" s="120"/>
      <c r="AC378" s="120"/>
      <c r="AD378" s="120"/>
      <c r="AE378" s="120"/>
      <c r="AF378" s="120"/>
    </row>
    <row r="379" ht="13.5" customHeight="1">
      <c r="A379" s="120"/>
      <c r="B379" s="120"/>
      <c r="C379" s="120"/>
      <c r="D379" s="120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  <c r="AA379" s="120"/>
      <c r="AB379" s="120"/>
      <c r="AC379" s="120"/>
      <c r="AD379" s="120"/>
      <c r="AE379" s="120"/>
      <c r="AF379" s="120"/>
    </row>
    <row r="380" ht="13.5" customHeight="1">
      <c r="A380" s="120"/>
      <c r="B380" s="120"/>
      <c r="C380" s="120"/>
      <c r="D380" s="120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  <c r="AA380" s="120"/>
      <c r="AB380" s="120"/>
      <c r="AC380" s="120"/>
      <c r="AD380" s="120"/>
      <c r="AE380" s="120"/>
      <c r="AF380" s="120"/>
    </row>
    <row r="381" ht="13.5" customHeight="1">
      <c r="A381" s="120"/>
      <c r="B381" s="120"/>
      <c r="C381" s="120"/>
      <c r="D381" s="120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  <c r="AA381" s="120"/>
      <c r="AB381" s="120"/>
      <c r="AC381" s="120"/>
      <c r="AD381" s="120"/>
      <c r="AE381" s="120"/>
      <c r="AF381" s="120"/>
    </row>
    <row r="382" ht="13.5" customHeight="1">
      <c r="A382" s="120"/>
      <c r="B382" s="120"/>
      <c r="C382" s="120"/>
      <c r="D382" s="120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  <c r="AA382" s="120"/>
      <c r="AB382" s="120"/>
      <c r="AC382" s="120"/>
      <c r="AD382" s="120"/>
      <c r="AE382" s="120"/>
      <c r="AF382" s="120"/>
    </row>
    <row r="383" ht="13.5" customHeight="1">
      <c r="A383" s="120"/>
      <c r="B383" s="120"/>
      <c r="C383" s="120"/>
      <c r="D383" s="120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  <c r="AA383" s="120"/>
      <c r="AB383" s="120"/>
      <c r="AC383" s="120"/>
      <c r="AD383" s="120"/>
      <c r="AE383" s="120"/>
      <c r="AF383" s="120"/>
    </row>
    <row r="384" ht="13.5" customHeight="1">
      <c r="A384" s="120"/>
      <c r="B384" s="120"/>
      <c r="C384" s="120"/>
      <c r="D384" s="120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  <c r="AA384" s="120"/>
      <c r="AB384" s="120"/>
      <c r="AC384" s="120"/>
      <c r="AD384" s="120"/>
      <c r="AE384" s="120"/>
      <c r="AF384" s="120"/>
    </row>
    <row r="385" ht="13.5" customHeight="1">
      <c r="A385" s="120"/>
      <c r="B385" s="120"/>
      <c r="C385" s="120"/>
      <c r="D385" s="120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  <c r="AA385" s="120"/>
      <c r="AB385" s="120"/>
      <c r="AC385" s="120"/>
      <c r="AD385" s="120"/>
      <c r="AE385" s="120"/>
      <c r="AF385" s="120"/>
    </row>
    <row r="386" ht="13.5" customHeight="1">
      <c r="A386" s="120"/>
      <c r="B386" s="120"/>
      <c r="C386" s="120"/>
      <c r="D386" s="120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  <c r="AA386" s="120"/>
      <c r="AB386" s="120"/>
      <c r="AC386" s="120"/>
      <c r="AD386" s="120"/>
      <c r="AE386" s="120"/>
      <c r="AF386" s="120"/>
    </row>
    <row r="387" ht="13.5" customHeight="1">
      <c r="A387" s="120"/>
      <c r="B387" s="120"/>
      <c r="C387" s="120"/>
      <c r="D387" s="120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  <c r="AA387" s="120"/>
      <c r="AB387" s="120"/>
      <c r="AC387" s="120"/>
      <c r="AD387" s="120"/>
      <c r="AE387" s="120"/>
      <c r="AF387" s="120"/>
    </row>
    <row r="388" ht="13.5" customHeight="1">
      <c r="A388" s="120"/>
      <c r="B388" s="120"/>
      <c r="C388" s="120"/>
      <c r="D388" s="120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  <c r="AA388" s="120"/>
      <c r="AB388" s="120"/>
      <c r="AC388" s="120"/>
      <c r="AD388" s="120"/>
      <c r="AE388" s="120"/>
      <c r="AF388" s="120"/>
    </row>
    <row r="389" ht="13.5" customHeight="1">
      <c r="A389" s="120"/>
      <c r="B389" s="120"/>
      <c r="C389" s="120"/>
      <c r="D389" s="120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  <c r="AA389" s="120"/>
      <c r="AB389" s="120"/>
      <c r="AC389" s="120"/>
      <c r="AD389" s="120"/>
      <c r="AE389" s="120"/>
      <c r="AF389" s="120"/>
    </row>
    <row r="390" ht="13.5" customHeight="1">
      <c r="A390" s="120"/>
      <c r="B390" s="120"/>
      <c r="C390" s="120"/>
      <c r="D390" s="120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  <c r="AA390" s="120"/>
      <c r="AB390" s="120"/>
      <c r="AC390" s="120"/>
      <c r="AD390" s="120"/>
      <c r="AE390" s="120"/>
      <c r="AF390" s="120"/>
    </row>
    <row r="391" ht="13.5" customHeight="1">
      <c r="A391" s="120"/>
      <c r="B391" s="120"/>
      <c r="C391" s="120"/>
      <c r="D391" s="120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  <c r="AA391" s="120"/>
      <c r="AB391" s="120"/>
      <c r="AC391" s="120"/>
      <c r="AD391" s="120"/>
      <c r="AE391" s="120"/>
      <c r="AF391" s="120"/>
    </row>
    <row r="392" ht="13.5" customHeight="1">
      <c r="A392" s="120"/>
      <c r="B392" s="120"/>
      <c r="C392" s="120"/>
      <c r="D392" s="120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  <c r="AA392" s="120"/>
      <c r="AB392" s="120"/>
      <c r="AC392" s="120"/>
      <c r="AD392" s="120"/>
      <c r="AE392" s="120"/>
      <c r="AF392" s="120"/>
    </row>
    <row r="393" ht="13.5" customHeight="1">
      <c r="A393" s="120"/>
      <c r="B393" s="120"/>
      <c r="C393" s="120"/>
      <c r="D393" s="120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  <c r="AA393" s="120"/>
      <c r="AB393" s="120"/>
      <c r="AC393" s="120"/>
      <c r="AD393" s="120"/>
      <c r="AE393" s="120"/>
      <c r="AF393" s="120"/>
    </row>
    <row r="394" ht="13.5" customHeight="1">
      <c r="A394" s="120"/>
      <c r="B394" s="120"/>
      <c r="C394" s="120"/>
      <c r="D394" s="120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  <c r="AA394" s="120"/>
      <c r="AB394" s="120"/>
      <c r="AC394" s="120"/>
      <c r="AD394" s="120"/>
      <c r="AE394" s="120"/>
      <c r="AF394" s="120"/>
    </row>
    <row r="395" ht="13.5" customHeight="1">
      <c r="A395" s="120"/>
      <c r="B395" s="120"/>
      <c r="C395" s="120"/>
      <c r="D395" s="120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  <c r="AA395" s="120"/>
      <c r="AB395" s="120"/>
      <c r="AC395" s="120"/>
      <c r="AD395" s="120"/>
      <c r="AE395" s="120"/>
      <c r="AF395" s="120"/>
    </row>
    <row r="396" ht="13.5" customHeight="1">
      <c r="A396" s="120"/>
      <c r="B396" s="120"/>
      <c r="C396" s="120"/>
      <c r="D396" s="120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  <c r="AA396" s="120"/>
      <c r="AB396" s="120"/>
      <c r="AC396" s="120"/>
      <c r="AD396" s="120"/>
      <c r="AE396" s="120"/>
      <c r="AF396" s="120"/>
    </row>
    <row r="397" ht="13.5" customHeight="1">
      <c r="A397" s="120"/>
      <c r="B397" s="120"/>
      <c r="C397" s="120"/>
      <c r="D397" s="120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  <c r="AA397" s="120"/>
      <c r="AB397" s="120"/>
      <c r="AC397" s="120"/>
      <c r="AD397" s="120"/>
      <c r="AE397" s="120"/>
      <c r="AF397" s="120"/>
    </row>
    <row r="398" ht="13.5" customHeight="1">
      <c r="A398" s="120"/>
      <c r="B398" s="120"/>
      <c r="C398" s="120"/>
      <c r="D398" s="120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  <c r="AA398" s="120"/>
      <c r="AB398" s="120"/>
      <c r="AC398" s="120"/>
      <c r="AD398" s="120"/>
      <c r="AE398" s="120"/>
      <c r="AF398" s="120"/>
    </row>
    <row r="399" ht="13.5" customHeight="1">
      <c r="A399" s="120"/>
      <c r="B399" s="120"/>
      <c r="C399" s="120"/>
      <c r="D399" s="120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  <c r="AA399" s="120"/>
      <c r="AB399" s="120"/>
      <c r="AC399" s="120"/>
      <c r="AD399" s="120"/>
      <c r="AE399" s="120"/>
      <c r="AF399" s="120"/>
    </row>
    <row r="400" ht="13.5" customHeight="1">
      <c r="A400" s="120"/>
      <c r="B400" s="120"/>
      <c r="C400" s="120"/>
      <c r="D400" s="120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  <c r="AA400" s="120"/>
      <c r="AB400" s="120"/>
      <c r="AC400" s="120"/>
      <c r="AD400" s="120"/>
      <c r="AE400" s="120"/>
      <c r="AF400" s="120"/>
    </row>
    <row r="401" ht="13.5" customHeight="1">
      <c r="A401" s="120"/>
      <c r="B401" s="120"/>
      <c r="C401" s="120"/>
      <c r="D401" s="120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  <c r="AA401" s="120"/>
      <c r="AB401" s="120"/>
      <c r="AC401" s="120"/>
      <c r="AD401" s="120"/>
      <c r="AE401" s="120"/>
      <c r="AF401" s="120"/>
    </row>
    <row r="402" ht="13.5" customHeight="1">
      <c r="A402" s="120"/>
      <c r="B402" s="120"/>
      <c r="C402" s="120"/>
      <c r="D402" s="120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  <c r="AA402" s="120"/>
      <c r="AB402" s="120"/>
      <c r="AC402" s="120"/>
      <c r="AD402" s="120"/>
      <c r="AE402" s="120"/>
      <c r="AF402" s="120"/>
    </row>
    <row r="403" ht="13.5" customHeight="1">
      <c r="A403" s="120"/>
      <c r="B403" s="120"/>
      <c r="C403" s="120"/>
      <c r="D403" s="120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  <c r="AA403" s="120"/>
      <c r="AB403" s="120"/>
      <c r="AC403" s="120"/>
      <c r="AD403" s="120"/>
      <c r="AE403" s="120"/>
      <c r="AF403" s="120"/>
    </row>
    <row r="404" ht="13.5" customHeight="1">
      <c r="A404" s="120"/>
      <c r="B404" s="120"/>
      <c r="C404" s="120"/>
      <c r="D404" s="120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  <c r="AA404" s="120"/>
      <c r="AB404" s="120"/>
      <c r="AC404" s="120"/>
      <c r="AD404" s="120"/>
      <c r="AE404" s="120"/>
      <c r="AF404" s="120"/>
    </row>
    <row r="405" ht="13.5" customHeight="1">
      <c r="A405" s="120"/>
      <c r="B405" s="120"/>
      <c r="C405" s="120"/>
      <c r="D405" s="120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  <c r="AA405" s="120"/>
      <c r="AB405" s="120"/>
      <c r="AC405" s="120"/>
      <c r="AD405" s="120"/>
      <c r="AE405" s="120"/>
      <c r="AF405" s="120"/>
    </row>
    <row r="406" ht="13.5" customHeight="1">
      <c r="A406" s="120"/>
      <c r="B406" s="120"/>
      <c r="C406" s="120"/>
      <c r="D406" s="120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  <c r="AA406" s="120"/>
      <c r="AB406" s="120"/>
      <c r="AC406" s="120"/>
      <c r="AD406" s="120"/>
      <c r="AE406" s="120"/>
      <c r="AF406" s="120"/>
    </row>
    <row r="407" ht="13.5" customHeight="1">
      <c r="A407" s="120"/>
      <c r="B407" s="120"/>
      <c r="C407" s="120"/>
      <c r="D407" s="120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  <c r="AA407" s="120"/>
      <c r="AB407" s="120"/>
      <c r="AC407" s="120"/>
      <c r="AD407" s="120"/>
      <c r="AE407" s="120"/>
      <c r="AF407" s="120"/>
    </row>
    <row r="408" ht="13.5" customHeight="1">
      <c r="A408" s="120"/>
      <c r="B408" s="120"/>
      <c r="C408" s="120"/>
      <c r="D408" s="120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  <c r="AA408" s="120"/>
      <c r="AB408" s="120"/>
      <c r="AC408" s="120"/>
      <c r="AD408" s="120"/>
      <c r="AE408" s="120"/>
      <c r="AF408" s="120"/>
    </row>
    <row r="409" ht="13.5" customHeight="1">
      <c r="A409" s="120"/>
      <c r="B409" s="120"/>
      <c r="C409" s="120"/>
      <c r="D409" s="120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  <c r="AA409" s="120"/>
      <c r="AB409" s="120"/>
      <c r="AC409" s="120"/>
      <c r="AD409" s="120"/>
      <c r="AE409" s="120"/>
      <c r="AF409" s="120"/>
    </row>
    <row r="410" ht="13.5" customHeight="1">
      <c r="A410" s="120"/>
      <c r="B410" s="120"/>
      <c r="C410" s="120"/>
      <c r="D410" s="120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  <c r="AA410" s="120"/>
      <c r="AB410" s="120"/>
      <c r="AC410" s="120"/>
      <c r="AD410" s="120"/>
      <c r="AE410" s="120"/>
      <c r="AF410" s="120"/>
    </row>
    <row r="411" ht="13.5" customHeight="1">
      <c r="A411" s="120"/>
      <c r="B411" s="120"/>
      <c r="C411" s="120"/>
      <c r="D411" s="120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  <c r="AA411" s="120"/>
      <c r="AB411" s="120"/>
      <c r="AC411" s="120"/>
      <c r="AD411" s="120"/>
      <c r="AE411" s="120"/>
      <c r="AF411" s="120"/>
    </row>
    <row r="412" ht="13.5" customHeight="1">
      <c r="A412" s="120"/>
      <c r="B412" s="120"/>
      <c r="C412" s="120"/>
      <c r="D412" s="120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  <c r="AA412" s="120"/>
      <c r="AB412" s="120"/>
      <c r="AC412" s="120"/>
      <c r="AD412" s="120"/>
      <c r="AE412" s="120"/>
      <c r="AF412" s="120"/>
    </row>
    <row r="413" ht="13.5" customHeight="1">
      <c r="A413" s="120"/>
      <c r="B413" s="120"/>
      <c r="C413" s="120"/>
      <c r="D413" s="120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  <c r="AA413" s="120"/>
      <c r="AB413" s="120"/>
      <c r="AC413" s="120"/>
      <c r="AD413" s="120"/>
      <c r="AE413" s="120"/>
      <c r="AF413" s="120"/>
    </row>
    <row r="414" ht="13.5" customHeight="1">
      <c r="A414" s="120"/>
      <c r="B414" s="120"/>
      <c r="C414" s="120"/>
      <c r="D414" s="120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  <c r="AA414" s="120"/>
      <c r="AB414" s="120"/>
      <c r="AC414" s="120"/>
      <c r="AD414" s="120"/>
      <c r="AE414" s="120"/>
      <c r="AF414" s="120"/>
    </row>
    <row r="415" ht="13.5" customHeight="1">
      <c r="A415" s="120"/>
      <c r="B415" s="120"/>
      <c r="C415" s="120"/>
      <c r="D415" s="120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  <c r="AA415" s="120"/>
      <c r="AB415" s="120"/>
      <c r="AC415" s="120"/>
      <c r="AD415" s="120"/>
      <c r="AE415" s="120"/>
      <c r="AF415" s="120"/>
    </row>
    <row r="416" ht="13.5" customHeight="1">
      <c r="A416" s="120"/>
      <c r="B416" s="120"/>
      <c r="C416" s="120"/>
      <c r="D416" s="120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  <c r="AA416" s="120"/>
      <c r="AB416" s="120"/>
      <c r="AC416" s="120"/>
      <c r="AD416" s="120"/>
      <c r="AE416" s="120"/>
      <c r="AF416" s="120"/>
    </row>
    <row r="417" ht="13.5" customHeight="1">
      <c r="A417" s="120"/>
      <c r="B417" s="120"/>
      <c r="C417" s="120"/>
      <c r="D417" s="120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  <c r="AA417" s="120"/>
      <c r="AB417" s="120"/>
      <c r="AC417" s="120"/>
      <c r="AD417" s="120"/>
      <c r="AE417" s="120"/>
      <c r="AF417" s="120"/>
    </row>
    <row r="418" ht="13.5" customHeight="1">
      <c r="A418" s="120"/>
      <c r="B418" s="120"/>
      <c r="C418" s="120"/>
      <c r="D418" s="120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  <c r="AA418" s="120"/>
      <c r="AB418" s="120"/>
      <c r="AC418" s="120"/>
      <c r="AD418" s="120"/>
      <c r="AE418" s="120"/>
      <c r="AF418" s="120"/>
    </row>
    <row r="419" ht="13.5" customHeight="1">
      <c r="A419" s="120"/>
      <c r="B419" s="120"/>
      <c r="C419" s="120"/>
      <c r="D419" s="120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  <c r="AA419" s="120"/>
      <c r="AB419" s="120"/>
      <c r="AC419" s="120"/>
      <c r="AD419" s="120"/>
      <c r="AE419" s="120"/>
      <c r="AF419" s="120"/>
    </row>
    <row r="420" ht="13.5" customHeight="1">
      <c r="A420" s="120"/>
      <c r="B420" s="120"/>
      <c r="C420" s="120"/>
      <c r="D420" s="120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  <c r="AA420" s="120"/>
      <c r="AB420" s="120"/>
      <c r="AC420" s="120"/>
      <c r="AD420" s="120"/>
      <c r="AE420" s="120"/>
      <c r="AF420" s="120"/>
    </row>
    <row r="421" ht="13.5" customHeight="1">
      <c r="A421" s="120"/>
      <c r="B421" s="120"/>
      <c r="C421" s="120"/>
      <c r="D421" s="120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  <c r="AA421" s="120"/>
      <c r="AB421" s="120"/>
      <c r="AC421" s="120"/>
      <c r="AD421" s="120"/>
      <c r="AE421" s="120"/>
      <c r="AF421" s="120"/>
    </row>
    <row r="422" ht="13.5" customHeight="1">
      <c r="A422" s="120"/>
      <c r="B422" s="120"/>
      <c r="C422" s="120"/>
      <c r="D422" s="120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  <c r="AA422" s="120"/>
      <c r="AB422" s="120"/>
      <c r="AC422" s="120"/>
      <c r="AD422" s="120"/>
      <c r="AE422" s="120"/>
      <c r="AF422" s="120"/>
    </row>
    <row r="423" ht="13.5" customHeight="1">
      <c r="A423" s="120"/>
      <c r="B423" s="120"/>
      <c r="C423" s="120"/>
      <c r="D423" s="120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  <c r="AA423" s="120"/>
      <c r="AB423" s="120"/>
      <c r="AC423" s="120"/>
      <c r="AD423" s="120"/>
      <c r="AE423" s="120"/>
      <c r="AF423" s="120"/>
    </row>
    <row r="424" ht="13.5" customHeight="1">
      <c r="A424" s="120"/>
      <c r="B424" s="120"/>
      <c r="C424" s="120"/>
      <c r="D424" s="120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  <c r="AA424" s="120"/>
      <c r="AB424" s="120"/>
      <c r="AC424" s="120"/>
      <c r="AD424" s="120"/>
      <c r="AE424" s="120"/>
      <c r="AF424" s="120"/>
    </row>
    <row r="425" ht="13.5" customHeight="1">
      <c r="A425" s="120"/>
      <c r="B425" s="120"/>
      <c r="C425" s="120"/>
      <c r="D425" s="120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  <c r="AA425" s="120"/>
      <c r="AB425" s="120"/>
      <c r="AC425" s="120"/>
      <c r="AD425" s="120"/>
      <c r="AE425" s="120"/>
      <c r="AF425" s="120"/>
    </row>
    <row r="426" ht="13.5" customHeight="1">
      <c r="A426" s="120"/>
      <c r="B426" s="120"/>
      <c r="C426" s="120"/>
      <c r="D426" s="120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  <c r="AA426" s="120"/>
      <c r="AB426" s="120"/>
      <c r="AC426" s="120"/>
      <c r="AD426" s="120"/>
      <c r="AE426" s="120"/>
      <c r="AF426" s="120"/>
    </row>
    <row r="427" ht="13.5" customHeight="1">
      <c r="A427" s="120"/>
      <c r="B427" s="120"/>
      <c r="C427" s="120"/>
      <c r="D427" s="120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  <c r="AA427" s="120"/>
      <c r="AB427" s="120"/>
      <c r="AC427" s="120"/>
      <c r="AD427" s="120"/>
      <c r="AE427" s="120"/>
      <c r="AF427" s="120"/>
    </row>
    <row r="428" ht="13.5" customHeight="1">
      <c r="A428" s="120"/>
      <c r="B428" s="120"/>
      <c r="C428" s="120"/>
      <c r="D428" s="120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  <c r="AA428" s="120"/>
      <c r="AB428" s="120"/>
      <c r="AC428" s="120"/>
      <c r="AD428" s="120"/>
      <c r="AE428" s="120"/>
      <c r="AF428" s="120"/>
    </row>
    <row r="429" ht="13.5" customHeight="1">
      <c r="A429" s="120"/>
      <c r="B429" s="120"/>
      <c r="C429" s="120"/>
      <c r="D429" s="120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  <c r="AA429" s="120"/>
      <c r="AB429" s="120"/>
      <c r="AC429" s="120"/>
      <c r="AD429" s="120"/>
      <c r="AE429" s="120"/>
      <c r="AF429" s="120"/>
    </row>
    <row r="430" ht="13.5" customHeight="1">
      <c r="A430" s="120"/>
      <c r="B430" s="120"/>
      <c r="C430" s="120"/>
      <c r="D430" s="120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  <c r="AA430" s="120"/>
      <c r="AB430" s="120"/>
      <c r="AC430" s="120"/>
      <c r="AD430" s="120"/>
      <c r="AE430" s="120"/>
      <c r="AF430" s="120"/>
    </row>
    <row r="431" ht="13.5" customHeight="1">
      <c r="A431" s="120"/>
      <c r="B431" s="120"/>
      <c r="C431" s="120"/>
      <c r="D431" s="120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  <c r="AA431" s="120"/>
      <c r="AB431" s="120"/>
      <c r="AC431" s="120"/>
      <c r="AD431" s="120"/>
      <c r="AE431" s="120"/>
      <c r="AF431" s="120"/>
    </row>
    <row r="432" ht="13.5" customHeight="1">
      <c r="A432" s="120"/>
      <c r="B432" s="120"/>
      <c r="C432" s="120"/>
      <c r="D432" s="120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  <c r="AA432" s="120"/>
      <c r="AB432" s="120"/>
      <c r="AC432" s="120"/>
      <c r="AD432" s="120"/>
      <c r="AE432" s="120"/>
      <c r="AF432" s="120"/>
    </row>
    <row r="433" ht="13.5" customHeight="1">
      <c r="A433" s="120"/>
      <c r="B433" s="120"/>
      <c r="C433" s="120"/>
      <c r="D433" s="120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  <c r="AA433" s="120"/>
      <c r="AB433" s="120"/>
      <c r="AC433" s="120"/>
      <c r="AD433" s="120"/>
      <c r="AE433" s="120"/>
      <c r="AF433" s="120"/>
    </row>
    <row r="434" ht="13.5" customHeight="1">
      <c r="A434" s="120"/>
      <c r="B434" s="120"/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  <c r="AA434" s="120"/>
      <c r="AB434" s="120"/>
      <c r="AC434" s="120"/>
      <c r="AD434" s="120"/>
      <c r="AE434" s="120"/>
      <c r="AF434" s="120"/>
    </row>
    <row r="435" ht="13.5" customHeight="1">
      <c r="A435" s="120"/>
      <c r="B435" s="120"/>
      <c r="C435" s="120"/>
      <c r="D435" s="120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  <c r="AA435" s="120"/>
      <c r="AB435" s="120"/>
      <c r="AC435" s="120"/>
      <c r="AD435" s="120"/>
      <c r="AE435" s="120"/>
      <c r="AF435" s="120"/>
    </row>
    <row r="436" ht="13.5" customHeight="1">
      <c r="A436" s="120"/>
      <c r="B436" s="120"/>
      <c r="C436" s="120"/>
      <c r="D436" s="120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  <c r="AA436" s="120"/>
      <c r="AB436" s="120"/>
      <c r="AC436" s="120"/>
      <c r="AD436" s="120"/>
      <c r="AE436" s="120"/>
      <c r="AF436" s="120"/>
    </row>
    <row r="437" ht="13.5" customHeight="1">
      <c r="A437" s="120"/>
      <c r="B437" s="120"/>
      <c r="C437" s="120"/>
      <c r="D437" s="120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  <c r="AA437" s="120"/>
      <c r="AB437" s="120"/>
      <c r="AC437" s="120"/>
      <c r="AD437" s="120"/>
      <c r="AE437" s="120"/>
      <c r="AF437" s="120"/>
    </row>
    <row r="438" ht="13.5" customHeight="1">
      <c r="A438" s="120"/>
      <c r="B438" s="120"/>
      <c r="C438" s="120"/>
      <c r="D438" s="120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  <c r="AA438" s="120"/>
      <c r="AB438" s="120"/>
      <c r="AC438" s="120"/>
      <c r="AD438" s="120"/>
      <c r="AE438" s="120"/>
      <c r="AF438" s="120"/>
    </row>
    <row r="439" ht="13.5" customHeight="1">
      <c r="A439" s="120"/>
      <c r="B439" s="120"/>
      <c r="C439" s="120"/>
      <c r="D439" s="120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  <c r="AA439" s="120"/>
      <c r="AB439" s="120"/>
      <c r="AC439" s="120"/>
      <c r="AD439" s="120"/>
      <c r="AE439" s="120"/>
      <c r="AF439" s="120"/>
    </row>
    <row r="440" ht="13.5" customHeight="1">
      <c r="A440" s="120"/>
      <c r="B440" s="120"/>
      <c r="C440" s="120"/>
      <c r="D440" s="120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  <c r="AA440" s="120"/>
      <c r="AB440" s="120"/>
      <c r="AC440" s="120"/>
      <c r="AD440" s="120"/>
      <c r="AE440" s="120"/>
      <c r="AF440" s="120"/>
    </row>
    <row r="441" ht="13.5" customHeight="1">
      <c r="A441" s="120"/>
      <c r="B441" s="120"/>
      <c r="C441" s="120"/>
      <c r="D441" s="120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  <c r="AA441" s="120"/>
      <c r="AB441" s="120"/>
      <c r="AC441" s="120"/>
      <c r="AD441" s="120"/>
      <c r="AE441" s="120"/>
      <c r="AF441" s="120"/>
    </row>
    <row r="442" ht="13.5" customHeight="1">
      <c r="A442" s="120"/>
      <c r="B442" s="120"/>
      <c r="C442" s="120"/>
      <c r="D442" s="120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  <c r="AA442" s="120"/>
      <c r="AB442" s="120"/>
      <c r="AC442" s="120"/>
      <c r="AD442" s="120"/>
      <c r="AE442" s="120"/>
      <c r="AF442" s="120"/>
    </row>
    <row r="443" ht="13.5" customHeight="1">
      <c r="A443" s="120"/>
      <c r="B443" s="120"/>
      <c r="C443" s="120"/>
      <c r="D443" s="120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  <c r="AA443" s="120"/>
      <c r="AB443" s="120"/>
      <c r="AC443" s="120"/>
      <c r="AD443" s="120"/>
      <c r="AE443" s="120"/>
      <c r="AF443" s="120"/>
    </row>
    <row r="444" ht="13.5" customHeight="1">
      <c r="A444" s="120"/>
      <c r="B444" s="120"/>
      <c r="C444" s="120"/>
      <c r="D444" s="120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  <c r="AA444" s="120"/>
      <c r="AB444" s="120"/>
      <c r="AC444" s="120"/>
      <c r="AD444" s="120"/>
      <c r="AE444" s="120"/>
      <c r="AF444" s="120"/>
    </row>
    <row r="445" ht="13.5" customHeight="1">
      <c r="A445" s="120"/>
      <c r="B445" s="120"/>
      <c r="C445" s="120"/>
      <c r="D445" s="120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  <c r="AA445" s="120"/>
      <c r="AB445" s="120"/>
      <c r="AC445" s="120"/>
      <c r="AD445" s="120"/>
      <c r="AE445" s="120"/>
      <c r="AF445" s="120"/>
    </row>
    <row r="446" ht="13.5" customHeight="1">
      <c r="A446" s="120"/>
      <c r="B446" s="120"/>
      <c r="C446" s="120"/>
      <c r="D446" s="120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  <c r="AA446" s="120"/>
      <c r="AB446" s="120"/>
      <c r="AC446" s="120"/>
      <c r="AD446" s="120"/>
      <c r="AE446" s="120"/>
      <c r="AF446" s="120"/>
    </row>
    <row r="447" ht="13.5" customHeight="1">
      <c r="A447" s="120"/>
      <c r="B447" s="120"/>
      <c r="C447" s="120"/>
      <c r="D447" s="120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  <c r="AA447" s="120"/>
      <c r="AB447" s="120"/>
      <c r="AC447" s="120"/>
      <c r="AD447" s="120"/>
      <c r="AE447" s="120"/>
      <c r="AF447" s="120"/>
    </row>
    <row r="448" ht="13.5" customHeight="1">
      <c r="A448" s="120"/>
      <c r="B448" s="120"/>
      <c r="C448" s="120"/>
      <c r="D448" s="120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  <c r="AA448" s="120"/>
      <c r="AB448" s="120"/>
      <c r="AC448" s="120"/>
      <c r="AD448" s="120"/>
      <c r="AE448" s="120"/>
      <c r="AF448" s="120"/>
    </row>
    <row r="449" ht="13.5" customHeight="1">
      <c r="A449" s="120"/>
      <c r="B449" s="120"/>
      <c r="C449" s="120"/>
      <c r="D449" s="120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  <c r="AA449" s="120"/>
      <c r="AB449" s="120"/>
      <c r="AC449" s="120"/>
      <c r="AD449" s="120"/>
      <c r="AE449" s="120"/>
      <c r="AF449" s="120"/>
    </row>
    <row r="450" ht="13.5" customHeight="1">
      <c r="A450" s="120"/>
      <c r="B450" s="120"/>
      <c r="C450" s="120"/>
      <c r="D450" s="120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  <c r="AA450" s="120"/>
      <c r="AB450" s="120"/>
      <c r="AC450" s="120"/>
      <c r="AD450" s="120"/>
      <c r="AE450" s="120"/>
      <c r="AF450" s="120"/>
    </row>
    <row r="451" ht="13.5" customHeight="1">
      <c r="A451" s="120"/>
      <c r="B451" s="120"/>
      <c r="C451" s="120"/>
      <c r="D451" s="120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  <c r="AA451" s="120"/>
      <c r="AB451" s="120"/>
      <c r="AC451" s="120"/>
      <c r="AD451" s="120"/>
      <c r="AE451" s="120"/>
      <c r="AF451" s="120"/>
    </row>
    <row r="452" ht="13.5" customHeight="1">
      <c r="A452" s="120"/>
      <c r="B452" s="120"/>
      <c r="C452" s="120"/>
      <c r="D452" s="120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  <c r="AA452" s="120"/>
      <c r="AB452" s="120"/>
      <c r="AC452" s="120"/>
      <c r="AD452" s="120"/>
      <c r="AE452" s="120"/>
      <c r="AF452" s="120"/>
    </row>
    <row r="453" ht="13.5" customHeight="1">
      <c r="A453" s="120"/>
      <c r="B453" s="120"/>
      <c r="C453" s="120"/>
      <c r="D453" s="120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  <c r="AA453" s="120"/>
      <c r="AB453" s="120"/>
      <c r="AC453" s="120"/>
      <c r="AD453" s="120"/>
      <c r="AE453" s="120"/>
      <c r="AF453" s="120"/>
    </row>
    <row r="454" ht="13.5" customHeight="1">
      <c r="A454" s="120"/>
      <c r="B454" s="120"/>
      <c r="C454" s="120"/>
      <c r="D454" s="120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  <c r="AA454" s="120"/>
      <c r="AB454" s="120"/>
      <c r="AC454" s="120"/>
      <c r="AD454" s="120"/>
      <c r="AE454" s="120"/>
      <c r="AF454" s="120"/>
    </row>
    <row r="455" ht="13.5" customHeight="1">
      <c r="A455" s="120"/>
      <c r="B455" s="120"/>
      <c r="C455" s="120"/>
      <c r="D455" s="120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  <c r="AA455" s="120"/>
      <c r="AB455" s="120"/>
      <c r="AC455" s="120"/>
      <c r="AD455" s="120"/>
      <c r="AE455" s="120"/>
      <c r="AF455" s="120"/>
    </row>
    <row r="456" ht="13.5" customHeight="1">
      <c r="A456" s="120"/>
      <c r="B456" s="120"/>
      <c r="C456" s="120"/>
      <c r="D456" s="120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  <c r="AA456" s="120"/>
      <c r="AB456" s="120"/>
      <c r="AC456" s="120"/>
      <c r="AD456" s="120"/>
      <c r="AE456" s="120"/>
      <c r="AF456" s="120"/>
    </row>
    <row r="457" ht="13.5" customHeight="1">
      <c r="A457" s="120"/>
      <c r="B457" s="120"/>
      <c r="C457" s="120"/>
      <c r="D457" s="120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  <c r="AA457" s="120"/>
      <c r="AB457" s="120"/>
      <c r="AC457" s="120"/>
      <c r="AD457" s="120"/>
      <c r="AE457" s="120"/>
      <c r="AF457" s="120"/>
    </row>
    <row r="458" ht="13.5" customHeight="1">
      <c r="A458" s="120"/>
      <c r="B458" s="120"/>
      <c r="C458" s="120"/>
      <c r="D458" s="120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  <c r="AA458" s="120"/>
      <c r="AB458" s="120"/>
      <c r="AC458" s="120"/>
      <c r="AD458" s="120"/>
      <c r="AE458" s="120"/>
      <c r="AF458" s="120"/>
    </row>
    <row r="459" ht="13.5" customHeight="1">
      <c r="A459" s="120"/>
      <c r="B459" s="120"/>
      <c r="C459" s="120"/>
      <c r="D459" s="120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  <c r="AA459" s="120"/>
      <c r="AB459" s="120"/>
      <c r="AC459" s="120"/>
      <c r="AD459" s="120"/>
      <c r="AE459" s="120"/>
      <c r="AF459" s="120"/>
    </row>
    <row r="460" ht="13.5" customHeight="1">
      <c r="A460" s="120"/>
      <c r="B460" s="120"/>
      <c r="C460" s="120"/>
      <c r="D460" s="120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  <c r="AA460" s="120"/>
      <c r="AB460" s="120"/>
      <c r="AC460" s="120"/>
      <c r="AD460" s="120"/>
      <c r="AE460" s="120"/>
      <c r="AF460" s="120"/>
    </row>
    <row r="461" ht="13.5" customHeight="1">
      <c r="A461" s="120"/>
      <c r="B461" s="120"/>
      <c r="C461" s="120"/>
      <c r="D461" s="120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  <c r="AA461" s="120"/>
      <c r="AB461" s="120"/>
      <c r="AC461" s="120"/>
      <c r="AD461" s="120"/>
      <c r="AE461" s="120"/>
      <c r="AF461" s="120"/>
    </row>
    <row r="462" ht="13.5" customHeight="1">
      <c r="A462" s="120"/>
      <c r="B462" s="120"/>
      <c r="C462" s="120"/>
      <c r="D462" s="120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  <c r="AA462" s="120"/>
      <c r="AB462" s="120"/>
      <c r="AC462" s="120"/>
      <c r="AD462" s="120"/>
      <c r="AE462" s="120"/>
      <c r="AF462" s="120"/>
    </row>
    <row r="463" ht="13.5" customHeight="1">
      <c r="A463" s="120"/>
      <c r="B463" s="120"/>
      <c r="C463" s="120"/>
      <c r="D463" s="120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  <c r="AA463" s="120"/>
      <c r="AB463" s="120"/>
      <c r="AC463" s="120"/>
      <c r="AD463" s="120"/>
      <c r="AE463" s="120"/>
      <c r="AF463" s="120"/>
    </row>
    <row r="464" ht="13.5" customHeight="1">
      <c r="A464" s="120"/>
      <c r="B464" s="120"/>
      <c r="C464" s="120"/>
      <c r="D464" s="120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  <c r="AA464" s="120"/>
      <c r="AB464" s="120"/>
      <c r="AC464" s="120"/>
      <c r="AD464" s="120"/>
      <c r="AE464" s="120"/>
      <c r="AF464" s="120"/>
    </row>
    <row r="465" ht="13.5" customHeight="1">
      <c r="A465" s="120"/>
      <c r="B465" s="120"/>
      <c r="C465" s="120"/>
      <c r="D465" s="120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  <c r="AA465" s="120"/>
      <c r="AB465" s="120"/>
      <c r="AC465" s="120"/>
      <c r="AD465" s="120"/>
      <c r="AE465" s="120"/>
      <c r="AF465" s="120"/>
    </row>
    <row r="466" ht="13.5" customHeight="1">
      <c r="A466" s="120"/>
      <c r="B466" s="120"/>
      <c r="C466" s="120"/>
      <c r="D466" s="120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  <c r="AA466" s="120"/>
      <c r="AB466" s="120"/>
      <c r="AC466" s="120"/>
      <c r="AD466" s="120"/>
      <c r="AE466" s="120"/>
      <c r="AF466" s="120"/>
    </row>
    <row r="467" ht="13.5" customHeight="1">
      <c r="A467" s="120"/>
      <c r="B467" s="120"/>
      <c r="C467" s="120"/>
      <c r="D467" s="120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  <c r="AA467" s="120"/>
      <c r="AB467" s="120"/>
      <c r="AC467" s="120"/>
      <c r="AD467" s="120"/>
      <c r="AE467" s="120"/>
      <c r="AF467" s="120"/>
    </row>
    <row r="468" ht="13.5" customHeight="1">
      <c r="A468" s="120"/>
      <c r="B468" s="120"/>
      <c r="C468" s="120"/>
      <c r="D468" s="120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  <c r="AA468" s="120"/>
      <c r="AB468" s="120"/>
      <c r="AC468" s="120"/>
      <c r="AD468" s="120"/>
      <c r="AE468" s="120"/>
      <c r="AF468" s="120"/>
    </row>
    <row r="469" ht="13.5" customHeight="1">
      <c r="A469" s="120"/>
      <c r="B469" s="120"/>
      <c r="C469" s="120"/>
      <c r="D469" s="120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  <c r="AA469" s="120"/>
      <c r="AB469" s="120"/>
      <c r="AC469" s="120"/>
      <c r="AD469" s="120"/>
      <c r="AE469" s="120"/>
      <c r="AF469" s="120"/>
    </row>
    <row r="470" ht="13.5" customHeight="1">
      <c r="A470" s="120"/>
      <c r="B470" s="120"/>
      <c r="C470" s="120"/>
      <c r="D470" s="120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  <c r="AA470" s="120"/>
      <c r="AB470" s="120"/>
      <c r="AC470" s="120"/>
      <c r="AD470" s="120"/>
      <c r="AE470" s="120"/>
      <c r="AF470" s="120"/>
    </row>
    <row r="471" ht="13.5" customHeight="1">
      <c r="A471" s="120"/>
      <c r="B471" s="120"/>
      <c r="C471" s="120"/>
      <c r="D471" s="120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  <c r="AA471" s="120"/>
      <c r="AB471" s="120"/>
      <c r="AC471" s="120"/>
      <c r="AD471" s="120"/>
      <c r="AE471" s="120"/>
      <c r="AF471" s="120"/>
    </row>
    <row r="472" ht="13.5" customHeight="1">
      <c r="A472" s="120"/>
      <c r="B472" s="120"/>
      <c r="C472" s="120"/>
      <c r="D472" s="120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  <c r="AA472" s="120"/>
      <c r="AB472" s="120"/>
      <c r="AC472" s="120"/>
      <c r="AD472" s="120"/>
      <c r="AE472" s="120"/>
      <c r="AF472" s="120"/>
    </row>
    <row r="473" ht="13.5" customHeight="1">
      <c r="A473" s="120"/>
      <c r="B473" s="120"/>
      <c r="C473" s="120"/>
      <c r="D473" s="120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  <c r="AA473" s="120"/>
      <c r="AB473" s="120"/>
      <c r="AC473" s="120"/>
      <c r="AD473" s="120"/>
      <c r="AE473" s="120"/>
      <c r="AF473" s="120"/>
    </row>
    <row r="474" ht="13.5" customHeight="1">
      <c r="A474" s="120"/>
      <c r="B474" s="120"/>
      <c r="C474" s="120"/>
      <c r="D474" s="120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  <c r="AA474" s="120"/>
      <c r="AB474" s="120"/>
      <c r="AC474" s="120"/>
      <c r="AD474" s="120"/>
      <c r="AE474" s="120"/>
      <c r="AF474" s="120"/>
    </row>
    <row r="475" ht="13.5" customHeight="1">
      <c r="A475" s="120"/>
      <c r="B475" s="120"/>
      <c r="C475" s="120"/>
      <c r="D475" s="120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  <c r="AA475" s="120"/>
      <c r="AB475" s="120"/>
      <c r="AC475" s="120"/>
      <c r="AD475" s="120"/>
      <c r="AE475" s="120"/>
      <c r="AF475" s="120"/>
    </row>
    <row r="476" ht="13.5" customHeight="1">
      <c r="A476" s="120"/>
      <c r="B476" s="120"/>
      <c r="C476" s="120"/>
      <c r="D476" s="120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  <c r="AA476" s="120"/>
      <c r="AB476" s="120"/>
      <c r="AC476" s="120"/>
      <c r="AD476" s="120"/>
      <c r="AE476" s="120"/>
      <c r="AF476" s="120"/>
    </row>
    <row r="477" ht="13.5" customHeight="1">
      <c r="A477" s="120"/>
      <c r="B477" s="120"/>
      <c r="C477" s="120"/>
      <c r="D477" s="120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  <c r="AA477" s="120"/>
      <c r="AB477" s="120"/>
      <c r="AC477" s="120"/>
      <c r="AD477" s="120"/>
      <c r="AE477" s="120"/>
      <c r="AF477" s="120"/>
    </row>
    <row r="478" ht="13.5" customHeight="1">
      <c r="A478" s="120"/>
      <c r="B478" s="120"/>
      <c r="C478" s="120"/>
      <c r="D478" s="120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  <c r="AA478" s="120"/>
      <c r="AB478" s="120"/>
      <c r="AC478" s="120"/>
      <c r="AD478" s="120"/>
      <c r="AE478" s="120"/>
      <c r="AF478" s="120"/>
    </row>
    <row r="479" ht="13.5" customHeight="1">
      <c r="A479" s="120"/>
      <c r="B479" s="120"/>
      <c r="C479" s="120"/>
      <c r="D479" s="120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  <c r="AA479" s="120"/>
      <c r="AB479" s="120"/>
      <c r="AC479" s="120"/>
      <c r="AD479" s="120"/>
      <c r="AE479" s="120"/>
      <c r="AF479" s="120"/>
    </row>
    <row r="480" ht="13.5" customHeight="1">
      <c r="A480" s="120"/>
      <c r="B480" s="120"/>
      <c r="C480" s="120"/>
      <c r="D480" s="120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  <c r="AA480" s="120"/>
      <c r="AB480" s="120"/>
      <c r="AC480" s="120"/>
      <c r="AD480" s="120"/>
      <c r="AE480" s="120"/>
      <c r="AF480" s="120"/>
    </row>
    <row r="481" ht="13.5" customHeight="1">
      <c r="A481" s="120"/>
      <c r="B481" s="120"/>
      <c r="C481" s="120"/>
      <c r="D481" s="120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  <c r="AA481" s="120"/>
      <c r="AB481" s="120"/>
      <c r="AC481" s="120"/>
      <c r="AD481" s="120"/>
      <c r="AE481" s="120"/>
      <c r="AF481" s="120"/>
    </row>
    <row r="482" ht="13.5" customHeight="1">
      <c r="A482" s="120"/>
      <c r="B482" s="120"/>
      <c r="C482" s="120"/>
      <c r="D482" s="120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  <c r="AA482" s="120"/>
      <c r="AB482" s="120"/>
      <c r="AC482" s="120"/>
      <c r="AD482" s="120"/>
      <c r="AE482" s="120"/>
      <c r="AF482" s="120"/>
    </row>
    <row r="483" ht="13.5" customHeight="1">
      <c r="A483" s="120"/>
      <c r="B483" s="120"/>
      <c r="C483" s="120"/>
      <c r="D483" s="120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  <c r="AA483" s="120"/>
      <c r="AB483" s="120"/>
      <c r="AC483" s="120"/>
      <c r="AD483" s="120"/>
      <c r="AE483" s="120"/>
      <c r="AF483" s="120"/>
    </row>
    <row r="484" ht="13.5" customHeight="1">
      <c r="A484" s="120"/>
      <c r="B484" s="120"/>
      <c r="C484" s="120"/>
      <c r="D484" s="120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  <c r="AA484" s="120"/>
      <c r="AB484" s="120"/>
      <c r="AC484" s="120"/>
      <c r="AD484" s="120"/>
      <c r="AE484" s="120"/>
      <c r="AF484" s="120"/>
    </row>
    <row r="485" ht="13.5" customHeight="1">
      <c r="A485" s="120"/>
      <c r="B485" s="120"/>
      <c r="C485" s="120"/>
      <c r="D485" s="120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  <c r="AA485" s="120"/>
      <c r="AB485" s="120"/>
      <c r="AC485" s="120"/>
      <c r="AD485" s="120"/>
      <c r="AE485" s="120"/>
      <c r="AF485" s="120"/>
    </row>
    <row r="486" ht="13.5" customHeight="1">
      <c r="A486" s="120"/>
      <c r="B486" s="120"/>
      <c r="C486" s="120"/>
      <c r="D486" s="120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  <c r="AA486" s="120"/>
      <c r="AB486" s="120"/>
      <c r="AC486" s="120"/>
      <c r="AD486" s="120"/>
      <c r="AE486" s="120"/>
      <c r="AF486" s="120"/>
    </row>
    <row r="487" ht="13.5" customHeight="1">
      <c r="A487" s="120"/>
      <c r="B487" s="120"/>
      <c r="C487" s="120"/>
      <c r="D487" s="120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  <c r="AA487" s="120"/>
      <c r="AB487" s="120"/>
      <c r="AC487" s="120"/>
      <c r="AD487" s="120"/>
      <c r="AE487" s="120"/>
      <c r="AF487" s="120"/>
    </row>
    <row r="488" ht="13.5" customHeight="1">
      <c r="A488" s="120"/>
      <c r="B488" s="120"/>
      <c r="C488" s="120"/>
      <c r="D488" s="120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  <c r="AA488" s="120"/>
      <c r="AB488" s="120"/>
      <c r="AC488" s="120"/>
      <c r="AD488" s="120"/>
      <c r="AE488" s="120"/>
      <c r="AF488" s="120"/>
    </row>
    <row r="489" ht="13.5" customHeight="1">
      <c r="A489" s="120"/>
      <c r="B489" s="120"/>
      <c r="C489" s="120"/>
      <c r="D489" s="120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  <c r="AA489" s="120"/>
      <c r="AB489" s="120"/>
      <c r="AC489" s="120"/>
      <c r="AD489" s="120"/>
      <c r="AE489" s="120"/>
      <c r="AF489" s="120"/>
    </row>
    <row r="490" ht="13.5" customHeight="1">
      <c r="A490" s="120"/>
      <c r="B490" s="120"/>
      <c r="C490" s="120"/>
      <c r="D490" s="120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  <c r="AA490" s="120"/>
      <c r="AB490" s="120"/>
      <c r="AC490" s="120"/>
      <c r="AD490" s="120"/>
      <c r="AE490" s="120"/>
      <c r="AF490" s="120"/>
    </row>
    <row r="491" ht="13.5" customHeight="1">
      <c r="A491" s="120"/>
      <c r="B491" s="120"/>
      <c r="C491" s="120"/>
      <c r="D491" s="120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  <c r="AA491" s="120"/>
      <c r="AB491" s="120"/>
      <c r="AC491" s="120"/>
      <c r="AD491" s="120"/>
      <c r="AE491" s="120"/>
      <c r="AF491" s="120"/>
    </row>
    <row r="492" ht="13.5" customHeight="1">
      <c r="A492" s="120"/>
      <c r="B492" s="120"/>
      <c r="C492" s="120"/>
      <c r="D492" s="120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  <c r="AA492" s="120"/>
      <c r="AB492" s="120"/>
      <c r="AC492" s="120"/>
      <c r="AD492" s="120"/>
      <c r="AE492" s="120"/>
      <c r="AF492" s="120"/>
    </row>
    <row r="493" ht="13.5" customHeight="1">
      <c r="A493" s="120"/>
      <c r="B493" s="120"/>
      <c r="C493" s="120"/>
      <c r="D493" s="120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  <c r="AA493" s="120"/>
      <c r="AB493" s="120"/>
      <c r="AC493" s="120"/>
      <c r="AD493" s="120"/>
      <c r="AE493" s="120"/>
      <c r="AF493" s="120"/>
    </row>
    <row r="494" ht="13.5" customHeight="1">
      <c r="A494" s="120"/>
      <c r="B494" s="120"/>
      <c r="C494" s="120"/>
      <c r="D494" s="120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  <c r="AA494" s="120"/>
      <c r="AB494" s="120"/>
      <c r="AC494" s="120"/>
      <c r="AD494" s="120"/>
      <c r="AE494" s="120"/>
      <c r="AF494" s="120"/>
    </row>
    <row r="495" ht="13.5" customHeight="1">
      <c r="A495" s="120"/>
      <c r="B495" s="120"/>
      <c r="C495" s="120"/>
      <c r="D495" s="120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  <c r="AA495" s="120"/>
      <c r="AB495" s="120"/>
      <c r="AC495" s="120"/>
      <c r="AD495" s="120"/>
      <c r="AE495" s="120"/>
      <c r="AF495" s="120"/>
    </row>
    <row r="496" ht="13.5" customHeight="1">
      <c r="A496" s="120"/>
      <c r="B496" s="120"/>
      <c r="C496" s="120"/>
      <c r="D496" s="120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  <c r="AA496" s="120"/>
      <c r="AB496" s="120"/>
      <c r="AC496" s="120"/>
      <c r="AD496" s="120"/>
      <c r="AE496" s="120"/>
      <c r="AF496" s="120"/>
    </row>
    <row r="497" ht="13.5" customHeight="1">
      <c r="A497" s="120"/>
      <c r="B497" s="120"/>
      <c r="C497" s="120"/>
      <c r="D497" s="120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  <c r="AA497" s="120"/>
      <c r="AB497" s="120"/>
      <c r="AC497" s="120"/>
      <c r="AD497" s="120"/>
      <c r="AE497" s="120"/>
      <c r="AF497" s="120"/>
    </row>
    <row r="498" ht="13.5" customHeight="1">
      <c r="A498" s="120"/>
      <c r="B498" s="120"/>
      <c r="C498" s="120"/>
      <c r="D498" s="120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  <c r="AA498" s="120"/>
      <c r="AB498" s="120"/>
      <c r="AC498" s="120"/>
      <c r="AD498" s="120"/>
      <c r="AE498" s="120"/>
      <c r="AF498" s="120"/>
    </row>
    <row r="499" ht="13.5" customHeight="1">
      <c r="A499" s="120"/>
      <c r="B499" s="120"/>
      <c r="C499" s="120"/>
      <c r="D499" s="120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  <c r="AA499" s="120"/>
      <c r="AB499" s="120"/>
      <c r="AC499" s="120"/>
      <c r="AD499" s="120"/>
      <c r="AE499" s="120"/>
      <c r="AF499" s="120"/>
    </row>
    <row r="500" ht="13.5" customHeight="1">
      <c r="A500" s="120"/>
      <c r="B500" s="120"/>
      <c r="C500" s="120"/>
      <c r="D500" s="120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  <c r="AA500" s="120"/>
      <c r="AB500" s="120"/>
      <c r="AC500" s="120"/>
      <c r="AD500" s="120"/>
      <c r="AE500" s="120"/>
      <c r="AF500" s="120"/>
    </row>
    <row r="501" ht="13.5" customHeight="1">
      <c r="A501" s="120"/>
      <c r="B501" s="120"/>
      <c r="C501" s="120"/>
      <c r="D501" s="120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  <c r="AA501" s="120"/>
      <c r="AB501" s="120"/>
      <c r="AC501" s="120"/>
      <c r="AD501" s="120"/>
      <c r="AE501" s="120"/>
      <c r="AF501" s="120"/>
    </row>
    <row r="502" ht="13.5" customHeight="1">
      <c r="A502" s="120"/>
      <c r="B502" s="120"/>
      <c r="C502" s="120"/>
      <c r="D502" s="120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  <c r="AA502" s="120"/>
      <c r="AB502" s="120"/>
      <c r="AC502" s="120"/>
      <c r="AD502" s="120"/>
      <c r="AE502" s="120"/>
      <c r="AF502" s="120"/>
    </row>
    <row r="503" ht="13.5" customHeight="1">
      <c r="A503" s="120"/>
      <c r="B503" s="120"/>
      <c r="C503" s="120"/>
      <c r="D503" s="120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  <c r="AA503" s="120"/>
      <c r="AB503" s="120"/>
      <c r="AC503" s="120"/>
      <c r="AD503" s="120"/>
      <c r="AE503" s="120"/>
      <c r="AF503" s="120"/>
    </row>
    <row r="504" ht="13.5" customHeight="1">
      <c r="A504" s="120"/>
      <c r="B504" s="120"/>
      <c r="C504" s="120"/>
      <c r="D504" s="120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  <c r="AA504" s="120"/>
      <c r="AB504" s="120"/>
      <c r="AC504" s="120"/>
      <c r="AD504" s="120"/>
      <c r="AE504" s="120"/>
      <c r="AF504" s="120"/>
    </row>
    <row r="505" ht="13.5" customHeight="1">
      <c r="A505" s="120"/>
      <c r="B505" s="120"/>
      <c r="C505" s="120"/>
      <c r="D505" s="120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  <c r="AA505" s="120"/>
      <c r="AB505" s="120"/>
      <c r="AC505" s="120"/>
      <c r="AD505" s="120"/>
      <c r="AE505" s="120"/>
      <c r="AF505" s="120"/>
    </row>
    <row r="506" ht="13.5" customHeight="1">
      <c r="A506" s="120"/>
      <c r="B506" s="120"/>
      <c r="C506" s="120"/>
      <c r="D506" s="120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  <c r="AA506" s="120"/>
      <c r="AB506" s="120"/>
      <c r="AC506" s="120"/>
      <c r="AD506" s="120"/>
      <c r="AE506" s="120"/>
      <c r="AF506" s="120"/>
    </row>
    <row r="507" ht="13.5" customHeight="1">
      <c r="A507" s="120"/>
      <c r="B507" s="120"/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  <c r="AA507" s="120"/>
      <c r="AB507" s="120"/>
      <c r="AC507" s="120"/>
      <c r="AD507" s="120"/>
      <c r="AE507" s="120"/>
      <c r="AF507" s="120"/>
    </row>
    <row r="508" ht="13.5" customHeight="1">
      <c r="A508" s="120"/>
      <c r="B508" s="120"/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  <c r="AA508" s="120"/>
      <c r="AB508" s="120"/>
      <c r="AC508" s="120"/>
      <c r="AD508" s="120"/>
      <c r="AE508" s="120"/>
      <c r="AF508" s="120"/>
    </row>
    <row r="509" ht="13.5" customHeight="1">
      <c r="A509" s="120"/>
      <c r="B509" s="120"/>
      <c r="C509" s="120"/>
      <c r="D509" s="120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  <c r="AA509" s="120"/>
      <c r="AB509" s="120"/>
      <c r="AC509" s="120"/>
      <c r="AD509" s="120"/>
      <c r="AE509" s="120"/>
      <c r="AF509" s="120"/>
    </row>
    <row r="510" ht="13.5" customHeight="1">
      <c r="A510" s="120"/>
      <c r="B510" s="120"/>
      <c r="C510" s="120"/>
      <c r="D510" s="120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  <c r="AA510" s="120"/>
      <c r="AB510" s="120"/>
      <c r="AC510" s="120"/>
      <c r="AD510" s="120"/>
      <c r="AE510" s="120"/>
      <c r="AF510" s="120"/>
    </row>
    <row r="511" ht="13.5" customHeight="1">
      <c r="A511" s="120"/>
      <c r="B511" s="120"/>
      <c r="C511" s="120"/>
      <c r="D511" s="120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  <c r="AA511" s="120"/>
      <c r="AB511" s="120"/>
      <c r="AC511" s="120"/>
      <c r="AD511" s="120"/>
      <c r="AE511" s="120"/>
      <c r="AF511" s="120"/>
    </row>
    <row r="512" ht="13.5" customHeight="1">
      <c r="A512" s="120"/>
      <c r="B512" s="120"/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  <c r="AA512" s="120"/>
      <c r="AB512" s="120"/>
      <c r="AC512" s="120"/>
      <c r="AD512" s="120"/>
      <c r="AE512" s="120"/>
      <c r="AF512" s="120"/>
    </row>
    <row r="513" ht="13.5" customHeight="1">
      <c r="A513" s="120"/>
      <c r="B513" s="120"/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  <c r="AA513" s="120"/>
      <c r="AB513" s="120"/>
      <c r="AC513" s="120"/>
      <c r="AD513" s="120"/>
      <c r="AE513" s="120"/>
      <c r="AF513" s="120"/>
    </row>
    <row r="514" ht="13.5" customHeight="1">
      <c r="A514" s="120"/>
      <c r="B514" s="120"/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  <c r="AA514" s="120"/>
      <c r="AB514" s="120"/>
      <c r="AC514" s="120"/>
      <c r="AD514" s="120"/>
      <c r="AE514" s="120"/>
      <c r="AF514" s="120"/>
    </row>
    <row r="515" ht="13.5" customHeight="1">
      <c r="A515" s="120"/>
      <c r="B515" s="120"/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  <c r="AA515" s="120"/>
      <c r="AB515" s="120"/>
      <c r="AC515" s="120"/>
      <c r="AD515" s="120"/>
      <c r="AE515" s="120"/>
      <c r="AF515" s="120"/>
    </row>
    <row r="516" ht="13.5" customHeight="1">
      <c r="A516" s="120"/>
      <c r="B516" s="120"/>
      <c r="C516" s="120"/>
      <c r="D516" s="120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  <c r="AA516" s="120"/>
      <c r="AB516" s="120"/>
      <c r="AC516" s="120"/>
      <c r="AD516" s="120"/>
      <c r="AE516" s="120"/>
      <c r="AF516" s="120"/>
    </row>
    <row r="517" ht="13.5" customHeight="1">
      <c r="A517" s="120"/>
      <c r="B517" s="120"/>
      <c r="C517" s="120"/>
      <c r="D517" s="120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  <c r="AA517" s="120"/>
      <c r="AB517" s="120"/>
      <c r="AC517" s="120"/>
      <c r="AD517" s="120"/>
      <c r="AE517" s="120"/>
      <c r="AF517" s="120"/>
    </row>
    <row r="518" ht="13.5" customHeight="1">
      <c r="A518" s="120"/>
      <c r="B518" s="120"/>
      <c r="C518" s="120"/>
      <c r="D518" s="120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  <c r="AA518" s="120"/>
      <c r="AB518" s="120"/>
      <c r="AC518" s="120"/>
      <c r="AD518" s="120"/>
      <c r="AE518" s="120"/>
      <c r="AF518" s="120"/>
    </row>
    <row r="519" ht="13.5" customHeight="1">
      <c r="A519" s="120"/>
      <c r="B519" s="120"/>
      <c r="C519" s="120"/>
      <c r="D519" s="120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  <c r="AA519" s="120"/>
      <c r="AB519" s="120"/>
      <c r="AC519" s="120"/>
      <c r="AD519" s="120"/>
      <c r="AE519" s="120"/>
      <c r="AF519" s="120"/>
    </row>
    <row r="520" ht="13.5" customHeight="1">
      <c r="A520" s="120"/>
      <c r="B520" s="120"/>
      <c r="C520" s="120"/>
      <c r="D520" s="120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  <c r="AA520" s="120"/>
      <c r="AB520" s="120"/>
      <c r="AC520" s="120"/>
      <c r="AD520" s="120"/>
      <c r="AE520" s="120"/>
      <c r="AF520" s="120"/>
    </row>
    <row r="521" ht="13.5" customHeight="1">
      <c r="A521" s="120"/>
      <c r="B521" s="120"/>
      <c r="C521" s="120"/>
      <c r="D521" s="120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  <c r="AA521" s="120"/>
      <c r="AB521" s="120"/>
      <c r="AC521" s="120"/>
      <c r="AD521" s="120"/>
      <c r="AE521" s="120"/>
      <c r="AF521" s="120"/>
    </row>
    <row r="522" ht="13.5" customHeight="1">
      <c r="A522" s="120"/>
      <c r="B522" s="120"/>
      <c r="C522" s="120"/>
      <c r="D522" s="120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  <c r="AA522" s="120"/>
      <c r="AB522" s="120"/>
      <c r="AC522" s="120"/>
      <c r="AD522" s="120"/>
      <c r="AE522" s="120"/>
      <c r="AF522" s="120"/>
    </row>
    <row r="523" ht="13.5" customHeight="1">
      <c r="A523" s="120"/>
      <c r="B523" s="120"/>
      <c r="C523" s="120"/>
      <c r="D523" s="120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  <c r="AA523" s="120"/>
      <c r="AB523" s="120"/>
      <c r="AC523" s="120"/>
      <c r="AD523" s="120"/>
      <c r="AE523" s="120"/>
      <c r="AF523" s="120"/>
    </row>
    <row r="524" ht="13.5" customHeight="1">
      <c r="A524" s="120"/>
      <c r="B524" s="120"/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  <c r="AA524" s="120"/>
      <c r="AB524" s="120"/>
      <c r="AC524" s="120"/>
      <c r="AD524" s="120"/>
      <c r="AE524" s="120"/>
      <c r="AF524" s="120"/>
    </row>
    <row r="525" ht="13.5" customHeight="1">
      <c r="A525" s="120"/>
      <c r="B525" s="120"/>
      <c r="C525" s="120"/>
      <c r="D525" s="120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  <c r="AA525" s="120"/>
      <c r="AB525" s="120"/>
      <c r="AC525" s="120"/>
      <c r="AD525" s="120"/>
      <c r="AE525" s="120"/>
      <c r="AF525" s="120"/>
    </row>
    <row r="526" ht="13.5" customHeight="1">
      <c r="A526" s="120"/>
      <c r="B526" s="120"/>
      <c r="C526" s="120"/>
      <c r="D526" s="120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  <c r="AA526" s="120"/>
      <c r="AB526" s="120"/>
      <c r="AC526" s="120"/>
      <c r="AD526" s="120"/>
      <c r="AE526" s="120"/>
      <c r="AF526" s="120"/>
    </row>
    <row r="527" ht="13.5" customHeight="1">
      <c r="A527" s="120"/>
      <c r="B527" s="120"/>
      <c r="C527" s="120"/>
      <c r="D527" s="120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  <c r="AA527" s="120"/>
      <c r="AB527" s="120"/>
      <c r="AC527" s="120"/>
      <c r="AD527" s="120"/>
      <c r="AE527" s="120"/>
      <c r="AF527" s="120"/>
    </row>
    <row r="528" ht="13.5" customHeight="1">
      <c r="A528" s="120"/>
      <c r="B528" s="120"/>
      <c r="C528" s="120"/>
      <c r="D528" s="120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  <c r="AA528" s="120"/>
      <c r="AB528" s="120"/>
      <c r="AC528" s="120"/>
      <c r="AD528" s="120"/>
      <c r="AE528" s="120"/>
      <c r="AF528" s="120"/>
    </row>
    <row r="529" ht="13.5" customHeight="1">
      <c r="A529" s="120"/>
      <c r="B529" s="120"/>
      <c r="C529" s="120"/>
      <c r="D529" s="120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  <c r="AA529" s="120"/>
      <c r="AB529" s="120"/>
      <c r="AC529" s="120"/>
      <c r="AD529" s="120"/>
      <c r="AE529" s="120"/>
      <c r="AF529" s="120"/>
    </row>
    <row r="530" ht="13.5" customHeight="1">
      <c r="A530" s="120"/>
      <c r="B530" s="120"/>
      <c r="C530" s="120"/>
      <c r="D530" s="120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  <c r="AA530" s="120"/>
      <c r="AB530" s="120"/>
      <c r="AC530" s="120"/>
      <c r="AD530" s="120"/>
      <c r="AE530" s="120"/>
      <c r="AF530" s="120"/>
    </row>
    <row r="531" ht="13.5" customHeight="1">
      <c r="A531" s="120"/>
      <c r="B531" s="120"/>
      <c r="C531" s="120"/>
      <c r="D531" s="120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  <c r="AA531" s="120"/>
      <c r="AB531" s="120"/>
      <c r="AC531" s="120"/>
      <c r="AD531" s="120"/>
      <c r="AE531" s="120"/>
      <c r="AF531" s="120"/>
    </row>
    <row r="532" ht="13.5" customHeight="1">
      <c r="A532" s="120"/>
      <c r="B532" s="120"/>
      <c r="C532" s="120"/>
      <c r="D532" s="120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  <c r="AA532" s="120"/>
      <c r="AB532" s="120"/>
      <c r="AC532" s="120"/>
      <c r="AD532" s="120"/>
      <c r="AE532" s="120"/>
      <c r="AF532" s="120"/>
    </row>
    <row r="533" ht="13.5" customHeight="1">
      <c r="A533" s="120"/>
      <c r="B533" s="120"/>
      <c r="C533" s="120"/>
      <c r="D533" s="120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  <c r="AA533" s="120"/>
      <c r="AB533" s="120"/>
      <c r="AC533" s="120"/>
      <c r="AD533" s="120"/>
      <c r="AE533" s="120"/>
      <c r="AF533" s="120"/>
    </row>
    <row r="534" ht="13.5" customHeight="1">
      <c r="A534" s="120"/>
      <c r="B534" s="120"/>
      <c r="C534" s="120"/>
      <c r="D534" s="120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  <c r="AA534" s="120"/>
      <c r="AB534" s="120"/>
      <c r="AC534" s="120"/>
      <c r="AD534" s="120"/>
      <c r="AE534" s="120"/>
      <c r="AF534" s="120"/>
    </row>
    <row r="535" ht="13.5" customHeight="1">
      <c r="A535" s="120"/>
      <c r="B535" s="120"/>
      <c r="C535" s="120"/>
      <c r="D535" s="120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  <c r="AA535" s="120"/>
      <c r="AB535" s="120"/>
      <c r="AC535" s="120"/>
      <c r="AD535" s="120"/>
      <c r="AE535" s="120"/>
      <c r="AF535" s="120"/>
    </row>
    <row r="536" ht="13.5" customHeight="1">
      <c r="A536" s="120"/>
      <c r="B536" s="120"/>
      <c r="C536" s="120"/>
      <c r="D536" s="120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  <c r="AA536" s="120"/>
      <c r="AB536" s="120"/>
      <c r="AC536" s="120"/>
      <c r="AD536" s="120"/>
      <c r="AE536" s="120"/>
      <c r="AF536" s="120"/>
    </row>
    <row r="537" ht="13.5" customHeight="1">
      <c r="A537" s="120"/>
      <c r="B537" s="120"/>
      <c r="C537" s="120"/>
      <c r="D537" s="120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  <c r="AA537" s="120"/>
      <c r="AB537" s="120"/>
      <c r="AC537" s="120"/>
      <c r="AD537" s="120"/>
      <c r="AE537" s="120"/>
      <c r="AF537" s="120"/>
    </row>
    <row r="538" ht="13.5" customHeight="1">
      <c r="A538" s="120"/>
      <c r="B538" s="120"/>
      <c r="C538" s="120"/>
      <c r="D538" s="120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  <c r="AA538" s="120"/>
      <c r="AB538" s="120"/>
      <c r="AC538" s="120"/>
      <c r="AD538" s="120"/>
      <c r="AE538" s="120"/>
      <c r="AF538" s="120"/>
    </row>
    <row r="539" ht="13.5" customHeight="1">
      <c r="A539" s="120"/>
      <c r="B539" s="120"/>
      <c r="C539" s="120"/>
      <c r="D539" s="120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  <c r="AA539" s="120"/>
      <c r="AB539" s="120"/>
      <c r="AC539" s="120"/>
      <c r="AD539" s="120"/>
      <c r="AE539" s="120"/>
      <c r="AF539" s="120"/>
    </row>
    <row r="540" ht="13.5" customHeight="1">
      <c r="A540" s="120"/>
      <c r="B540" s="120"/>
      <c r="C540" s="120"/>
      <c r="D540" s="120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  <c r="AA540" s="120"/>
      <c r="AB540" s="120"/>
      <c r="AC540" s="120"/>
      <c r="AD540" s="120"/>
      <c r="AE540" s="120"/>
      <c r="AF540" s="120"/>
    </row>
    <row r="541" ht="13.5" customHeight="1">
      <c r="A541" s="120"/>
      <c r="B541" s="120"/>
      <c r="C541" s="120"/>
      <c r="D541" s="120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  <c r="AA541" s="120"/>
      <c r="AB541" s="120"/>
      <c r="AC541" s="120"/>
      <c r="AD541" s="120"/>
      <c r="AE541" s="120"/>
      <c r="AF541" s="120"/>
    </row>
    <row r="542" ht="13.5" customHeight="1">
      <c r="A542" s="120"/>
      <c r="B542" s="120"/>
      <c r="C542" s="120"/>
      <c r="D542" s="120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  <c r="AA542" s="120"/>
      <c r="AB542" s="120"/>
      <c r="AC542" s="120"/>
      <c r="AD542" s="120"/>
      <c r="AE542" s="120"/>
      <c r="AF542" s="120"/>
    </row>
    <row r="543" ht="13.5" customHeight="1">
      <c r="A543" s="120"/>
      <c r="B543" s="120"/>
      <c r="C543" s="120"/>
      <c r="D543" s="120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  <c r="AA543" s="120"/>
      <c r="AB543" s="120"/>
      <c r="AC543" s="120"/>
      <c r="AD543" s="120"/>
      <c r="AE543" s="120"/>
      <c r="AF543" s="120"/>
    </row>
    <row r="544" ht="13.5" customHeight="1">
      <c r="A544" s="120"/>
      <c r="B544" s="120"/>
      <c r="C544" s="120"/>
      <c r="D544" s="120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  <c r="AA544" s="120"/>
      <c r="AB544" s="120"/>
      <c r="AC544" s="120"/>
      <c r="AD544" s="120"/>
      <c r="AE544" s="120"/>
      <c r="AF544" s="120"/>
    </row>
    <row r="545" ht="13.5" customHeight="1">
      <c r="A545" s="120"/>
      <c r="B545" s="120"/>
      <c r="C545" s="120"/>
      <c r="D545" s="120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  <c r="AA545" s="120"/>
      <c r="AB545" s="120"/>
      <c r="AC545" s="120"/>
      <c r="AD545" s="120"/>
      <c r="AE545" s="120"/>
      <c r="AF545" s="120"/>
    </row>
    <row r="546" ht="13.5" customHeight="1">
      <c r="A546" s="120"/>
      <c r="B546" s="120"/>
      <c r="C546" s="120"/>
      <c r="D546" s="120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  <c r="AA546" s="120"/>
      <c r="AB546" s="120"/>
      <c r="AC546" s="120"/>
      <c r="AD546" s="120"/>
      <c r="AE546" s="120"/>
      <c r="AF546" s="120"/>
    </row>
    <row r="547" ht="13.5" customHeight="1">
      <c r="A547" s="120"/>
      <c r="B547" s="120"/>
      <c r="C547" s="120"/>
      <c r="D547" s="120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  <c r="AA547" s="120"/>
      <c r="AB547" s="120"/>
      <c r="AC547" s="120"/>
      <c r="AD547" s="120"/>
      <c r="AE547" s="120"/>
      <c r="AF547" s="120"/>
    </row>
    <row r="548" ht="13.5" customHeight="1">
      <c r="A548" s="120"/>
      <c r="B548" s="120"/>
      <c r="C548" s="120"/>
      <c r="D548" s="120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  <c r="AA548" s="120"/>
      <c r="AB548" s="120"/>
      <c r="AC548" s="120"/>
      <c r="AD548" s="120"/>
      <c r="AE548" s="120"/>
      <c r="AF548" s="120"/>
    </row>
    <row r="549" ht="13.5" customHeight="1">
      <c r="A549" s="120"/>
      <c r="B549" s="120"/>
      <c r="C549" s="120"/>
      <c r="D549" s="120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  <c r="AA549" s="120"/>
      <c r="AB549" s="120"/>
      <c r="AC549" s="120"/>
      <c r="AD549" s="120"/>
      <c r="AE549" s="120"/>
      <c r="AF549" s="120"/>
    </row>
    <row r="550" ht="13.5" customHeight="1">
      <c r="A550" s="120"/>
      <c r="B550" s="120"/>
      <c r="C550" s="120"/>
      <c r="D550" s="120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  <c r="AA550" s="120"/>
      <c r="AB550" s="120"/>
      <c r="AC550" s="120"/>
      <c r="AD550" s="120"/>
      <c r="AE550" s="120"/>
      <c r="AF550" s="120"/>
    </row>
    <row r="551" ht="13.5" customHeight="1">
      <c r="A551" s="120"/>
      <c r="B551" s="120"/>
      <c r="C551" s="120"/>
      <c r="D551" s="120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  <c r="AA551" s="120"/>
      <c r="AB551" s="120"/>
      <c r="AC551" s="120"/>
      <c r="AD551" s="120"/>
      <c r="AE551" s="120"/>
      <c r="AF551" s="120"/>
    </row>
    <row r="552" ht="13.5" customHeight="1">
      <c r="A552" s="120"/>
      <c r="B552" s="120"/>
      <c r="C552" s="120"/>
      <c r="D552" s="120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  <c r="AA552" s="120"/>
      <c r="AB552" s="120"/>
      <c r="AC552" s="120"/>
      <c r="AD552" s="120"/>
      <c r="AE552" s="120"/>
      <c r="AF552" s="120"/>
    </row>
    <row r="553" ht="13.5" customHeight="1">
      <c r="A553" s="120"/>
      <c r="B553" s="120"/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  <c r="AA553" s="120"/>
      <c r="AB553" s="120"/>
      <c r="AC553" s="120"/>
      <c r="AD553" s="120"/>
      <c r="AE553" s="120"/>
      <c r="AF553" s="120"/>
    </row>
    <row r="554" ht="13.5" customHeight="1">
      <c r="A554" s="120"/>
      <c r="B554" s="120"/>
      <c r="C554" s="120"/>
      <c r="D554" s="120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  <c r="AA554" s="120"/>
      <c r="AB554" s="120"/>
      <c r="AC554" s="120"/>
      <c r="AD554" s="120"/>
      <c r="AE554" s="120"/>
      <c r="AF554" s="120"/>
    </row>
    <row r="555" ht="13.5" customHeight="1">
      <c r="A555" s="120"/>
      <c r="B555" s="120"/>
      <c r="C555" s="120"/>
      <c r="D555" s="120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  <c r="AA555" s="120"/>
      <c r="AB555" s="120"/>
      <c r="AC555" s="120"/>
      <c r="AD555" s="120"/>
      <c r="AE555" s="120"/>
      <c r="AF555" s="120"/>
    </row>
    <row r="556" ht="13.5" customHeight="1">
      <c r="A556" s="120"/>
      <c r="B556" s="120"/>
      <c r="C556" s="120"/>
      <c r="D556" s="120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  <c r="AA556" s="120"/>
      <c r="AB556" s="120"/>
      <c r="AC556" s="120"/>
      <c r="AD556" s="120"/>
      <c r="AE556" s="120"/>
      <c r="AF556" s="120"/>
    </row>
    <row r="557" ht="13.5" customHeight="1">
      <c r="A557" s="120"/>
      <c r="B557" s="120"/>
      <c r="C557" s="120"/>
      <c r="D557" s="120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  <c r="AA557" s="120"/>
      <c r="AB557" s="120"/>
      <c r="AC557" s="120"/>
      <c r="AD557" s="120"/>
      <c r="AE557" s="120"/>
      <c r="AF557" s="120"/>
    </row>
    <row r="558" ht="13.5" customHeight="1">
      <c r="A558" s="120"/>
      <c r="B558" s="120"/>
      <c r="C558" s="120"/>
      <c r="D558" s="120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  <c r="AA558" s="120"/>
      <c r="AB558" s="120"/>
      <c r="AC558" s="120"/>
      <c r="AD558" s="120"/>
      <c r="AE558" s="120"/>
      <c r="AF558" s="120"/>
    </row>
    <row r="559" ht="13.5" customHeight="1">
      <c r="A559" s="120"/>
      <c r="B559" s="120"/>
      <c r="C559" s="120"/>
      <c r="D559" s="120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  <c r="AA559" s="120"/>
      <c r="AB559" s="120"/>
      <c r="AC559" s="120"/>
      <c r="AD559" s="120"/>
      <c r="AE559" s="120"/>
      <c r="AF559" s="120"/>
    </row>
    <row r="560" ht="13.5" customHeight="1">
      <c r="A560" s="120"/>
      <c r="B560" s="120"/>
      <c r="C560" s="120"/>
      <c r="D560" s="120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  <c r="AA560" s="120"/>
      <c r="AB560" s="120"/>
      <c r="AC560" s="120"/>
      <c r="AD560" s="120"/>
      <c r="AE560" s="120"/>
      <c r="AF560" s="120"/>
    </row>
    <row r="561" ht="13.5" customHeight="1">
      <c r="A561" s="120"/>
      <c r="B561" s="120"/>
      <c r="C561" s="120"/>
      <c r="D561" s="120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  <c r="AA561" s="120"/>
      <c r="AB561" s="120"/>
      <c r="AC561" s="120"/>
      <c r="AD561" s="120"/>
      <c r="AE561" s="120"/>
      <c r="AF561" s="120"/>
    </row>
    <row r="562" ht="13.5" customHeight="1">
      <c r="A562" s="120"/>
      <c r="B562" s="120"/>
      <c r="C562" s="120"/>
      <c r="D562" s="120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  <c r="AA562" s="120"/>
      <c r="AB562" s="120"/>
      <c r="AC562" s="120"/>
      <c r="AD562" s="120"/>
      <c r="AE562" s="120"/>
      <c r="AF562" s="120"/>
    </row>
    <row r="563" ht="13.5" customHeight="1">
      <c r="A563" s="120"/>
      <c r="B563" s="120"/>
      <c r="C563" s="120"/>
      <c r="D563" s="120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  <c r="AA563" s="120"/>
      <c r="AB563" s="120"/>
      <c r="AC563" s="120"/>
      <c r="AD563" s="120"/>
      <c r="AE563" s="120"/>
      <c r="AF563" s="120"/>
    </row>
    <row r="564" ht="13.5" customHeight="1">
      <c r="A564" s="120"/>
      <c r="B564" s="120"/>
      <c r="C564" s="120"/>
      <c r="D564" s="120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  <c r="AA564" s="120"/>
      <c r="AB564" s="120"/>
      <c r="AC564" s="120"/>
      <c r="AD564" s="120"/>
      <c r="AE564" s="120"/>
      <c r="AF564" s="120"/>
    </row>
    <row r="565" ht="13.5" customHeight="1">
      <c r="A565" s="120"/>
      <c r="B565" s="120"/>
      <c r="C565" s="120"/>
      <c r="D565" s="120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  <c r="AA565" s="120"/>
      <c r="AB565" s="120"/>
      <c r="AC565" s="120"/>
      <c r="AD565" s="120"/>
      <c r="AE565" s="120"/>
      <c r="AF565" s="120"/>
    </row>
    <row r="566" ht="13.5" customHeight="1">
      <c r="A566" s="120"/>
      <c r="B566" s="120"/>
      <c r="C566" s="120"/>
      <c r="D566" s="120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  <c r="AA566" s="120"/>
      <c r="AB566" s="120"/>
      <c r="AC566" s="120"/>
      <c r="AD566" s="120"/>
      <c r="AE566" s="120"/>
      <c r="AF566" s="120"/>
    </row>
    <row r="567" ht="13.5" customHeight="1">
      <c r="A567" s="120"/>
      <c r="B567" s="120"/>
      <c r="C567" s="120"/>
      <c r="D567" s="120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  <c r="AA567" s="120"/>
      <c r="AB567" s="120"/>
      <c r="AC567" s="120"/>
      <c r="AD567" s="120"/>
      <c r="AE567" s="120"/>
      <c r="AF567" s="120"/>
    </row>
    <row r="568" ht="13.5" customHeight="1">
      <c r="A568" s="120"/>
      <c r="B568" s="120"/>
      <c r="C568" s="120"/>
      <c r="D568" s="120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  <c r="AA568" s="120"/>
      <c r="AB568" s="120"/>
      <c r="AC568" s="120"/>
      <c r="AD568" s="120"/>
      <c r="AE568" s="120"/>
      <c r="AF568" s="120"/>
    </row>
    <row r="569" ht="13.5" customHeight="1">
      <c r="A569" s="120"/>
      <c r="B569" s="120"/>
      <c r="C569" s="120"/>
      <c r="D569" s="120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  <c r="AA569" s="120"/>
      <c r="AB569" s="120"/>
      <c r="AC569" s="120"/>
      <c r="AD569" s="120"/>
      <c r="AE569" s="120"/>
      <c r="AF569" s="120"/>
    </row>
    <row r="570" ht="13.5" customHeight="1">
      <c r="A570" s="120"/>
      <c r="B570" s="120"/>
      <c r="C570" s="120"/>
      <c r="D570" s="120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  <c r="AA570" s="120"/>
      <c r="AB570" s="120"/>
      <c r="AC570" s="120"/>
      <c r="AD570" s="120"/>
      <c r="AE570" s="120"/>
      <c r="AF570" s="120"/>
    </row>
    <row r="571" ht="13.5" customHeight="1">
      <c r="A571" s="120"/>
      <c r="B571" s="120"/>
      <c r="C571" s="120"/>
      <c r="D571" s="120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  <c r="AA571" s="120"/>
      <c r="AB571" s="120"/>
      <c r="AC571" s="120"/>
      <c r="AD571" s="120"/>
      <c r="AE571" s="120"/>
      <c r="AF571" s="120"/>
    </row>
    <row r="572" ht="13.5" customHeight="1">
      <c r="A572" s="120"/>
      <c r="B572" s="120"/>
      <c r="C572" s="120"/>
      <c r="D572" s="120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  <c r="AA572" s="120"/>
      <c r="AB572" s="120"/>
      <c r="AC572" s="120"/>
      <c r="AD572" s="120"/>
      <c r="AE572" s="120"/>
      <c r="AF572" s="120"/>
    </row>
    <row r="573" ht="13.5" customHeight="1">
      <c r="A573" s="120"/>
      <c r="B573" s="120"/>
      <c r="C573" s="120"/>
      <c r="D573" s="120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  <c r="AA573" s="120"/>
      <c r="AB573" s="120"/>
      <c r="AC573" s="120"/>
      <c r="AD573" s="120"/>
      <c r="AE573" s="120"/>
      <c r="AF573" s="120"/>
    </row>
    <row r="574" ht="13.5" customHeight="1">
      <c r="A574" s="120"/>
      <c r="B574" s="120"/>
      <c r="C574" s="120"/>
      <c r="D574" s="120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  <c r="AA574" s="120"/>
      <c r="AB574" s="120"/>
      <c r="AC574" s="120"/>
      <c r="AD574" s="120"/>
      <c r="AE574" s="120"/>
      <c r="AF574" s="120"/>
    </row>
    <row r="575" ht="13.5" customHeight="1">
      <c r="A575" s="120"/>
      <c r="B575" s="120"/>
      <c r="C575" s="120"/>
      <c r="D575" s="120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  <c r="AA575" s="120"/>
      <c r="AB575" s="120"/>
      <c r="AC575" s="120"/>
      <c r="AD575" s="120"/>
      <c r="AE575" s="120"/>
      <c r="AF575" s="120"/>
    </row>
    <row r="576" ht="13.5" customHeight="1">
      <c r="A576" s="120"/>
      <c r="B576" s="120"/>
      <c r="C576" s="120"/>
      <c r="D576" s="120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  <c r="AA576" s="120"/>
      <c r="AB576" s="120"/>
      <c r="AC576" s="120"/>
      <c r="AD576" s="120"/>
      <c r="AE576" s="120"/>
      <c r="AF576" s="120"/>
    </row>
    <row r="577" ht="13.5" customHeight="1">
      <c r="A577" s="120"/>
      <c r="B577" s="120"/>
      <c r="C577" s="120"/>
      <c r="D577" s="120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  <c r="AA577" s="120"/>
      <c r="AB577" s="120"/>
      <c r="AC577" s="120"/>
      <c r="AD577" s="120"/>
      <c r="AE577" s="120"/>
      <c r="AF577" s="120"/>
    </row>
    <row r="578" ht="13.5" customHeight="1">
      <c r="A578" s="120"/>
      <c r="B578" s="120"/>
      <c r="C578" s="120"/>
      <c r="D578" s="120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  <c r="AA578" s="120"/>
      <c r="AB578" s="120"/>
      <c r="AC578" s="120"/>
      <c r="AD578" s="120"/>
      <c r="AE578" s="120"/>
      <c r="AF578" s="120"/>
    </row>
    <row r="579" ht="13.5" customHeight="1">
      <c r="A579" s="120"/>
      <c r="B579" s="120"/>
      <c r="C579" s="120"/>
      <c r="D579" s="120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  <c r="AA579" s="120"/>
      <c r="AB579" s="120"/>
      <c r="AC579" s="120"/>
      <c r="AD579" s="120"/>
      <c r="AE579" s="120"/>
      <c r="AF579" s="120"/>
    </row>
    <row r="580" ht="13.5" customHeight="1">
      <c r="A580" s="120"/>
      <c r="B580" s="120"/>
      <c r="C580" s="120"/>
      <c r="D580" s="120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  <c r="AA580" s="120"/>
      <c r="AB580" s="120"/>
      <c r="AC580" s="120"/>
      <c r="AD580" s="120"/>
      <c r="AE580" s="120"/>
      <c r="AF580" s="120"/>
    </row>
    <row r="581" ht="13.5" customHeight="1">
      <c r="A581" s="120"/>
      <c r="B581" s="120"/>
      <c r="C581" s="120"/>
      <c r="D581" s="120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  <c r="AA581" s="120"/>
      <c r="AB581" s="120"/>
      <c r="AC581" s="120"/>
      <c r="AD581" s="120"/>
      <c r="AE581" s="120"/>
      <c r="AF581" s="120"/>
    </row>
    <row r="582" ht="13.5" customHeight="1">
      <c r="A582" s="120"/>
      <c r="B582" s="120"/>
      <c r="C582" s="120"/>
      <c r="D582" s="120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  <c r="AA582" s="120"/>
      <c r="AB582" s="120"/>
      <c r="AC582" s="120"/>
      <c r="AD582" s="120"/>
      <c r="AE582" s="120"/>
      <c r="AF582" s="120"/>
    </row>
    <row r="583" ht="13.5" customHeight="1">
      <c r="A583" s="120"/>
      <c r="B583" s="120"/>
      <c r="C583" s="120"/>
      <c r="D583" s="120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  <c r="AA583" s="120"/>
      <c r="AB583" s="120"/>
      <c r="AC583" s="120"/>
      <c r="AD583" s="120"/>
      <c r="AE583" s="120"/>
      <c r="AF583" s="120"/>
    </row>
    <row r="584" ht="13.5" customHeight="1">
      <c r="A584" s="120"/>
      <c r="B584" s="120"/>
      <c r="C584" s="120"/>
      <c r="D584" s="120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  <c r="AA584" s="120"/>
      <c r="AB584" s="120"/>
      <c r="AC584" s="120"/>
      <c r="AD584" s="120"/>
      <c r="AE584" s="120"/>
      <c r="AF584" s="120"/>
    </row>
    <row r="585" ht="13.5" customHeight="1">
      <c r="A585" s="120"/>
      <c r="B585" s="120"/>
      <c r="C585" s="120"/>
      <c r="D585" s="120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  <c r="AA585" s="120"/>
      <c r="AB585" s="120"/>
      <c r="AC585" s="120"/>
      <c r="AD585" s="120"/>
      <c r="AE585" s="120"/>
      <c r="AF585" s="120"/>
    </row>
    <row r="586" ht="13.5" customHeight="1">
      <c r="A586" s="120"/>
      <c r="B586" s="120"/>
      <c r="C586" s="120"/>
      <c r="D586" s="120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  <c r="AA586" s="120"/>
      <c r="AB586" s="120"/>
      <c r="AC586" s="120"/>
      <c r="AD586" s="120"/>
      <c r="AE586" s="120"/>
      <c r="AF586" s="120"/>
    </row>
    <row r="587" ht="13.5" customHeight="1">
      <c r="A587" s="120"/>
      <c r="B587" s="120"/>
      <c r="C587" s="120"/>
      <c r="D587" s="120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  <c r="AA587" s="120"/>
      <c r="AB587" s="120"/>
      <c r="AC587" s="120"/>
      <c r="AD587" s="120"/>
      <c r="AE587" s="120"/>
      <c r="AF587" s="120"/>
    </row>
    <row r="588" ht="13.5" customHeight="1">
      <c r="A588" s="120"/>
      <c r="B588" s="120"/>
      <c r="C588" s="120"/>
      <c r="D588" s="120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  <c r="AA588" s="120"/>
      <c r="AB588" s="120"/>
      <c r="AC588" s="120"/>
      <c r="AD588" s="120"/>
      <c r="AE588" s="120"/>
      <c r="AF588" s="120"/>
    </row>
    <row r="589" ht="13.5" customHeight="1">
      <c r="A589" s="120"/>
      <c r="B589" s="120"/>
      <c r="C589" s="120"/>
      <c r="D589" s="120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  <c r="AA589" s="120"/>
      <c r="AB589" s="120"/>
      <c r="AC589" s="120"/>
      <c r="AD589" s="120"/>
      <c r="AE589" s="120"/>
      <c r="AF589" s="120"/>
    </row>
    <row r="590" ht="13.5" customHeight="1">
      <c r="A590" s="120"/>
      <c r="B590" s="120"/>
      <c r="C590" s="120"/>
      <c r="D590" s="120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  <c r="AA590" s="120"/>
      <c r="AB590" s="120"/>
      <c r="AC590" s="120"/>
      <c r="AD590" s="120"/>
      <c r="AE590" s="120"/>
      <c r="AF590" s="120"/>
    </row>
    <row r="591" ht="13.5" customHeight="1">
      <c r="A591" s="120"/>
      <c r="B591" s="120"/>
      <c r="C591" s="120"/>
      <c r="D591" s="120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  <c r="AA591" s="120"/>
      <c r="AB591" s="120"/>
      <c r="AC591" s="120"/>
      <c r="AD591" s="120"/>
      <c r="AE591" s="120"/>
      <c r="AF591" s="120"/>
    </row>
    <row r="592" ht="13.5" customHeight="1">
      <c r="A592" s="120"/>
      <c r="B592" s="120"/>
      <c r="C592" s="120"/>
      <c r="D592" s="120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  <c r="AA592" s="120"/>
      <c r="AB592" s="120"/>
      <c r="AC592" s="120"/>
      <c r="AD592" s="120"/>
      <c r="AE592" s="120"/>
      <c r="AF592" s="120"/>
    </row>
    <row r="593" ht="13.5" customHeight="1">
      <c r="A593" s="120"/>
      <c r="B593" s="120"/>
      <c r="C593" s="120"/>
      <c r="D593" s="120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  <c r="AA593" s="120"/>
      <c r="AB593" s="120"/>
      <c r="AC593" s="120"/>
      <c r="AD593" s="120"/>
      <c r="AE593" s="120"/>
      <c r="AF593" s="120"/>
    </row>
    <row r="594" ht="13.5" customHeight="1">
      <c r="A594" s="120"/>
      <c r="B594" s="120"/>
      <c r="C594" s="120"/>
      <c r="D594" s="120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  <c r="AA594" s="120"/>
      <c r="AB594" s="120"/>
      <c r="AC594" s="120"/>
      <c r="AD594" s="120"/>
      <c r="AE594" s="120"/>
      <c r="AF594" s="120"/>
    </row>
    <row r="595" ht="13.5" customHeight="1">
      <c r="A595" s="120"/>
      <c r="B595" s="120"/>
      <c r="C595" s="120"/>
      <c r="D595" s="120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  <c r="AA595" s="120"/>
      <c r="AB595" s="120"/>
      <c r="AC595" s="120"/>
      <c r="AD595" s="120"/>
      <c r="AE595" s="120"/>
      <c r="AF595" s="120"/>
    </row>
    <row r="596" ht="13.5" customHeight="1">
      <c r="A596" s="120"/>
      <c r="B596" s="120"/>
      <c r="C596" s="120"/>
      <c r="D596" s="120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  <c r="AA596" s="120"/>
      <c r="AB596" s="120"/>
      <c r="AC596" s="120"/>
      <c r="AD596" s="120"/>
      <c r="AE596" s="120"/>
      <c r="AF596" s="120"/>
    </row>
    <row r="597" ht="13.5" customHeight="1">
      <c r="A597" s="120"/>
      <c r="B597" s="120"/>
      <c r="C597" s="120"/>
      <c r="D597" s="120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  <c r="AA597" s="120"/>
      <c r="AB597" s="120"/>
      <c r="AC597" s="120"/>
      <c r="AD597" s="120"/>
      <c r="AE597" s="120"/>
      <c r="AF597" s="120"/>
    </row>
    <row r="598" ht="13.5" customHeight="1">
      <c r="A598" s="120"/>
      <c r="B598" s="120"/>
      <c r="C598" s="120"/>
      <c r="D598" s="120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  <c r="AA598" s="120"/>
      <c r="AB598" s="120"/>
      <c r="AC598" s="120"/>
      <c r="AD598" s="120"/>
      <c r="AE598" s="120"/>
      <c r="AF598" s="120"/>
    </row>
    <row r="599" ht="13.5" customHeight="1">
      <c r="A599" s="120"/>
      <c r="B599" s="120"/>
      <c r="C599" s="120"/>
      <c r="D599" s="120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  <c r="AA599" s="120"/>
      <c r="AB599" s="120"/>
      <c r="AC599" s="120"/>
      <c r="AD599" s="120"/>
      <c r="AE599" s="120"/>
      <c r="AF599" s="120"/>
    </row>
    <row r="600" ht="13.5" customHeight="1">
      <c r="A600" s="120"/>
      <c r="B600" s="120"/>
      <c r="C600" s="120"/>
      <c r="D600" s="120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  <c r="AA600" s="120"/>
      <c r="AB600" s="120"/>
      <c r="AC600" s="120"/>
      <c r="AD600" s="120"/>
      <c r="AE600" s="120"/>
      <c r="AF600" s="120"/>
    </row>
    <row r="601" ht="13.5" customHeight="1">
      <c r="A601" s="120"/>
      <c r="B601" s="120"/>
      <c r="C601" s="120"/>
      <c r="D601" s="120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  <c r="AA601" s="120"/>
      <c r="AB601" s="120"/>
      <c r="AC601" s="120"/>
      <c r="AD601" s="120"/>
      <c r="AE601" s="120"/>
      <c r="AF601" s="120"/>
    </row>
    <row r="602" ht="13.5" customHeight="1">
      <c r="A602" s="120"/>
      <c r="B602" s="120"/>
      <c r="C602" s="120"/>
      <c r="D602" s="120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  <c r="AA602" s="120"/>
      <c r="AB602" s="120"/>
      <c r="AC602" s="120"/>
      <c r="AD602" s="120"/>
      <c r="AE602" s="120"/>
      <c r="AF602" s="120"/>
    </row>
    <row r="603" ht="13.5" customHeight="1">
      <c r="A603" s="120"/>
      <c r="B603" s="120"/>
      <c r="C603" s="120"/>
      <c r="D603" s="120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  <c r="AA603" s="120"/>
      <c r="AB603" s="120"/>
      <c r="AC603" s="120"/>
      <c r="AD603" s="120"/>
      <c r="AE603" s="120"/>
      <c r="AF603" s="120"/>
    </row>
    <row r="604" ht="13.5" customHeight="1">
      <c r="A604" s="120"/>
      <c r="B604" s="120"/>
      <c r="C604" s="120"/>
      <c r="D604" s="120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  <c r="AA604" s="120"/>
      <c r="AB604" s="120"/>
      <c r="AC604" s="120"/>
      <c r="AD604" s="120"/>
      <c r="AE604" s="120"/>
      <c r="AF604" s="120"/>
    </row>
    <row r="605" ht="13.5" customHeight="1">
      <c r="A605" s="120"/>
      <c r="B605" s="120"/>
      <c r="C605" s="120"/>
      <c r="D605" s="120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  <c r="AA605" s="120"/>
      <c r="AB605" s="120"/>
      <c r="AC605" s="120"/>
      <c r="AD605" s="120"/>
      <c r="AE605" s="120"/>
      <c r="AF605" s="120"/>
    </row>
    <row r="606" ht="13.5" customHeight="1">
      <c r="A606" s="120"/>
      <c r="B606" s="120"/>
      <c r="C606" s="120"/>
      <c r="D606" s="120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  <c r="AA606" s="120"/>
      <c r="AB606" s="120"/>
      <c r="AC606" s="120"/>
      <c r="AD606" s="120"/>
      <c r="AE606" s="120"/>
      <c r="AF606" s="120"/>
    </row>
    <row r="607" ht="13.5" customHeight="1">
      <c r="A607" s="120"/>
      <c r="B607" s="120"/>
      <c r="C607" s="120"/>
      <c r="D607" s="120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  <c r="AA607" s="120"/>
      <c r="AB607" s="120"/>
      <c r="AC607" s="120"/>
      <c r="AD607" s="120"/>
      <c r="AE607" s="120"/>
      <c r="AF607" s="120"/>
    </row>
    <row r="608" ht="13.5" customHeight="1">
      <c r="A608" s="120"/>
      <c r="B608" s="120"/>
      <c r="C608" s="120"/>
      <c r="D608" s="120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  <c r="AA608" s="120"/>
      <c r="AB608" s="120"/>
      <c r="AC608" s="120"/>
      <c r="AD608" s="120"/>
      <c r="AE608" s="120"/>
      <c r="AF608" s="120"/>
    </row>
    <row r="609" ht="13.5" customHeight="1">
      <c r="A609" s="120"/>
      <c r="B609" s="120"/>
      <c r="C609" s="120"/>
      <c r="D609" s="120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  <c r="AA609" s="120"/>
      <c r="AB609" s="120"/>
      <c r="AC609" s="120"/>
      <c r="AD609" s="120"/>
      <c r="AE609" s="120"/>
      <c r="AF609" s="120"/>
    </row>
    <row r="610" ht="13.5" customHeight="1">
      <c r="A610" s="120"/>
      <c r="B610" s="120"/>
      <c r="C610" s="120"/>
      <c r="D610" s="120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  <c r="AA610" s="120"/>
      <c r="AB610" s="120"/>
      <c r="AC610" s="120"/>
      <c r="AD610" s="120"/>
      <c r="AE610" s="120"/>
      <c r="AF610" s="120"/>
    </row>
    <row r="611" ht="13.5" customHeight="1">
      <c r="A611" s="120"/>
      <c r="B611" s="120"/>
      <c r="C611" s="120"/>
      <c r="D611" s="120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  <c r="AA611" s="120"/>
      <c r="AB611" s="120"/>
      <c r="AC611" s="120"/>
      <c r="AD611" s="120"/>
      <c r="AE611" s="120"/>
      <c r="AF611" s="120"/>
    </row>
    <row r="612" ht="13.5" customHeight="1">
      <c r="A612" s="120"/>
      <c r="B612" s="120"/>
      <c r="C612" s="120"/>
      <c r="D612" s="120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  <c r="AA612" s="120"/>
      <c r="AB612" s="120"/>
      <c r="AC612" s="120"/>
      <c r="AD612" s="120"/>
      <c r="AE612" s="120"/>
      <c r="AF612" s="120"/>
    </row>
    <row r="613" ht="13.5" customHeight="1">
      <c r="A613" s="120"/>
      <c r="B613" s="120"/>
      <c r="C613" s="120"/>
      <c r="D613" s="120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  <c r="AA613" s="120"/>
      <c r="AB613" s="120"/>
      <c r="AC613" s="120"/>
      <c r="AD613" s="120"/>
      <c r="AE613" s="120"/>
      <c r="AF613" s="120"/>
    </row>
    <row r="614" ht="13.5" customHeight="1">
      <c r="A614" s="120"/>
      <c r="B614" s="120"/>
      <c r="C614" s="120"/>
      <c r="D614" s="120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  <c r="AA614" s="120"/>
      <c r="AB614" s="120"/>
      <c r="AC614" s="120"/>
      <c r="AD614" s="120"/>
      <c r="AE614" s="120"/>
      <c r="AF614" s="120"/>
    </row>
    <row r="615" ht="13.5" customHeight="1">
      <c r="A615" s="120"/>
      <c r="B615" s="120"/>
      <c r="C615" s="120"/>
      <c r="D615" s="120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  <c r="AA615" s="120"/>
      <c r="AB615" s="120"/>
      <c r="AC615" s="120"/>
      <c r="AD615" s="120"/>
      <c r="AE615" s="120"/>
      <c r="AF615" s="120"/>
    </row>
    <row r="616" ht="13.5" customHeight="1">
      <c r="A616" s="120"/>
      <c r="B616" s="120"/>
      <c r="C616" s="120"/>
      <c r="D616" s="120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  <c r="AA616" s="120"/>
      <c r="AB616" s="120"/>
      <c r="AC616" s="120"/>
      <c r="AD616" s="120"/>
      <c r="AE616" s="120"/>
      <c r="AF616" s="120"/>
    </row>
    <row r="617" ht="13.5" customHeight="1">
      <c r="A617" s="120"/>
      <c r="B617" s="120"/>
      <c r="C617" s="120"/>
      <c r="D617" s="120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  <c r="AA617" s="120"/>
      <c r="AB617" s="120"/>
      <c r="AC617" s="120"/>
      <c r="AD617" s="120"/>
      <c r="AE617" s="120"/>
      <c r="AF617" s="120"/>
    </row>
    <row r="618" ht="13.5" customHeight="1">
      <c r="A618" s="120"/>
      <c r="B618" s="120"/>
      <c r="C618" s="120"/>
      <c r="D618" s="120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  <c r="AA618" s="120"/>
      <c r="AB618" s="120"/>
      <c r="AC618" s="120"/>
      <c r="AD618" s="120"/>
      <c r="AE618" s="120"/>
      <c r="AF618" s="120"/>
    </row>
    <row r="619" ht="13.5" customHeight="1">
      <c r="A619" s="120"/>
      <c r="B619" s="120"/>
      <c r="C619" s="120"/>
      <c r="D619" s="120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  <c r="AA619" s="120"/>
      <c r="AB619" s="120"/>
      <c r="AC619" s="120"/>
      <c r="AD619" s="120"/>
      <c r="AE619" s="120"/>
      <c r="AF619" s="120"/>
    </row>
    <row r="620" ht="13.5" customHeight="1">
      <c r="A620" s="120"/>
      <c r="B620" s="120"/>
      <c r="C620" s="120"/>
      <c r="D620" s="120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  <c r="AA620" s="120"/>
      <c r="AB620" s="120"/>
      <c r="AC620" s="120"/>
      <c r="AD620" s="120"/>
      <c r="AE620" s="120"/>
      <c r="AF620" s="120"/>
    </row>
    <row r="621" ht="13.5" customHeight="1">
      <c r="A621" s="120"/>
      <c r="B621" s="120"/>
      <c r="C621" s="120"/>
      <c r="D621" s="120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  <c r="AA621" s="120"/>
      <c r="AB621" s="120"/>
      <c r="AC621" s="120"/>
      <c r="AD621" s="120"/>
      <c r="AE621" s="120"/>
      <c r="AF621" s="120"/>
    </row>
    <row r="622" ht="13.5" customHeight="1">
      <c r="A622" s="120"/>
      <c r="B622" s="120"/>
      <c r="C622" s="120"/>
      <c r="D622" s="120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  <c r="AA622" s="120"/>
      <c r="AB622" s="120"/>
      <c r="AC622" s="120"/>
      <c r="AD622" s="120"/>
      <c r="AE622" s="120"/>
      <c r="AF622" s="120"/>
    </row>
    <row r="623" ht="13.5" customHeight="1">
      <c r="A623" s="120"/>
      <c r="B623" s="120"/>
      <c r="C623" s="120"/>
      <c r="D623" s="120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  <c r="AA623" s="120"/>
      <c r="AB623" s="120"/>
      <c r="AC623" s="120"/>
      <c r="AD623" s="120"/>
      <c r="AE623" s="120"/>
      <c r="AF623" s="120"/>
    </row>
    <row r="624" ht="13.5" customHeight="1">
      <c r="A624" s="120"/>
      <c r="B624" s="120"/>
      <c r="C624" s="120"/>
      <c r="D624" s="120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  <c r="AA624" s="120"/>
      <c r="AB624" s="120"/>
      <c r="AC624" s="120"/>
      <c r="AD624" s="120"/>
      <c r="AE624" s="120"/>
      <c r="AF624" s="120"/>
    </row>
    <row r="625" ht="13.5" customHeight="1">
      <c r="A625" s="120"/>
      <c r="B625" s="120"/>
      <c r="C625" s="120"/>
      <c r="D625" s="120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  <c r="AA625" s="120"/>
      <c r="AB625" s="120"/>
      <c r="AC625" s="120"/>
      <c r="AD625" s="120"/>
      <c r="AE625" s="120"/>
      <c r="AF625" s="120"/>
    </row>
    <row r="626" ht="13.5" customHeight="1">
      <c r="A626" s="120"/>
      <c r="B626" s="120"/>
      <c r="C626" s="120"/>
      <c r="D626" s="120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  <c r="AA626" s="120"/>
      <c r="AB626" s="120"/>
      <c r="AC626" s="120"/>
      <c r="AD626" s="120"/>
      <c r="AE626" s="120"/>
      <c r="AF626" s="120"/>
    </row>
    <row r="627" ht="13.5" customHeight="1">
      <c r="A627" s="120"/>
      <c r="B627" s="120"/>
      <c r="C627" s="120"/>
      <c r="D627" s="120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  <c r="AA627" s="120"/>
      <c r="AB627" s="120"/>
      <c r="AC627" s="120"/>
      <c r="AD627" s="120"/>
      <c r="AE627" s="120"/>
      <c r="AF627" s="120"/>
    </row>
    <row r="628" ht="13.5" customHeight="1">
      <c r="A628" s="120"/>
      <c r="B628" s="120"/>
      <c r="C628" s="120"/>
      <c r="D628" s="120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  <c r="AA628" s="120"/>
      <c r="AB628" s="120"/>
      <c r="AC628" s="120"/>
      <c r="AD628" s="120"/>
      <c r="AE628" s="120"/>
      <c r="AF628" s="120"/>
    </row>
    <row r="629" ht="13.5" customHeight="1">
      <c r="A629" s="120"/>
      <c r="B629" s="120"/>
      <c r="C629" s="120"/>
      <c r="D629" s="120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  <c r="AA629" s="120"/>
      <c r="AB629" s="120"/>
      <c r="AC629" s="120"/>
      <c r="AD629" s="120"/>
      <c r="AE629" s="120"/>
      <c r="AF629" s="120"/>
    </row>
    <row r="630" ht="13.5" customHeight="1">
      <c r="A630" s="120"/>
      <c r="B630" s="120"/>
      <c r="C630" s="120"/>
      <c r="D630" s="120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  <c r="AA630" s="120"/>
      <c r="AB630" s="120"/>
      <c r="AC630" s="120"/>
      <c r="AD630" s="120"/>
      <c r="AE630" s="120"/>
      <c r="AF630" s="120"/>
    </row>
    <row r="631" ht="13.5" customHeight="1">
      <c r="A631" s="120"/>
      <c r="B631" s="120"/>
      <c r="C631" s="120"/>
      <c r="D631" s="120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  <c r="AA631" s="120"/>
      <c r="AB631" s="120"/>
      <c r="AC631" s="120"/>
      <c r="AD631" s="120"/>
      <c r="AE631" s="120"/>
      <c r="AF631" s="120"/>
    </row>
    <row r="632" ht="13.5" customHeight="1">
      <c r="A632" s="120"/>
      <c r="B632" s="120"/>
      <c r="C632" s="120"/>
      <c r="D632" s="120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  <c r="AA632" s="120"/>
      <c r="AB632" s="120"/>
      <c r="AC632" s="120"/>
      <c r="AD632" s="120"/>
      <c r="AE632" s="120"/>
      <c r="AF632" s="120"/>
    </row>
    <row r="633" ht="13.5" customHeight="1">
      <c r="A633" s="120"/>
      <c r="B633" s="120"/>
      <c r="C633" s="120"/>
      <c r="D633" s="120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  <c r="AA633" s="120"/>
      <c r="AB633" s="120"/>
      <c r="AC633" s="120"/>
      <c r="AD633" s="120"/>
      <c r="AE633" s="120"/>
      <c r="AF633" s="120"/>
    </row>
    <row r="634" ht="13.5" customHeight="1">
      <c r="A634" s="120"/>
      <c r="B634" s="120"/>
      <c r="C634" s="120"/>
      <c r="D634" s="120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  <c r="AA634" s="120"/>
      <c r="AB634" s="120"/>
      <c r="AC634" s="120"/>
      <c r="AD634" s="120"/>
      <c r="AE634" s="120"/>
      <c r="AF634" s="120"/>
    </row>
    <row r="635" ht="13.5" customHeight="1">
      <c r="A635" s="120"/>
      <c r="B635" s="120"/>
      <c r="C635" s="120"/>
      <c r="D635" s="120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  <c r="AA635" s="120"/>
      <c r="AB635" s="120"/>
      <c r="AC635" s="120"/>
      <c r="AD635" s="120"/>
      <c r="AE635" s="120"/>
      <c r="AF635" s="120"/>
    </row>
    <row r="636" ht="13.5" customHeight="1">
      <c r="A636" s="120"/>
      <c r="B636" s="120"/>
      <c r="C636" s="120"/>
      <c r="D636" s="120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  <c r="AA636" s="120"/>
      <c r="AB636" s="120"/>
      <c r="AC636" s="120"/>
      <c r="AD636" s="120"/>
      <c r="AE636" s="120"/>
      <c r="AF636" s="120"/>
    </row>
    <row r="637" ht="13.5" customHeight="1">
      <c r="A637" s="120"/>
      <c r="B637" s="120"/>
      <c r="C637" s="120"/>
      <c r="D637" s="120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  <c r="AA637" s="120"/>
      <c r="AB637" s="120"/>
      <c r="AC637" s="120"/>
      <c r="AD637" s="120"/>
      <c r="AE637" s="120"/>
      <c r="AF637" s="120"/>
    </row>
    <row r="638" ht="13.5" customHeight="1">
      <c r="A638" s="120"/>
      <c r="B638" s="120"/>
      <c r="C638" s="120"/>
      <c r="D638" s="120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  <c r="AA638" s="120"/>
      <c r="AB638" s="120"/>
      <c r="AC638" s="120"/>
      <c r="AD638" s="120"/>
      <c r="AE638" s="120"/>
      <c r="AF638" s="120"/>
    </row>
    <row r="639" ht="13.5" customHeight="1">
      <c r="A639" s="120"/>
      <c r="B639" s="120"/>
      <c r="C639" s="120"/>
      <c r="D639" s="120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  <c r="AA639" s="120"/>
      <c r="AB639" s="120"/>
      <c r="AC639" s="120"/>
      <c r="AD639" s="120"/>
      <c r="AE639" s="120"/>
      <c r="AF639" s="120"/>
    </row>
    <row r="640" ht="13.5" customHeight="1">
      <c r="A640" s="120"/>
      <c r="B640" s="120"/>
      <c r="C640" s="120"/>
      <c r="D640" s="120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  <c r="AA640" s="120"/>
      <c r="AB640" s="120"/>
      <c r="AC640" s="120"/>
      <c r="AD640" s="120"/>
      <c r="AE640" s="120"/>
      <c r="AF640" s="120"/>
    </row>
    <row r="641" ht="13.5" customHeight="1">
      <c r="A641" s="120"/>
      <c r="B641" s="120"/>
      <c r="C641" s="120"/>
      <c r="D641" s="120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  <c r="AA641" s="120"/>
      <c r="AB641" s="120"/>
      <c r="AC641" s="120"/>
      <c r="AD641" s="120"/>
      <c r="AE641" s="120"/>
      <c r="AF641" s="120"/>
    </row>
    <row r="642" ht="13.5" customHeight="1">
      <c r="A642" s="120"/>
      <c r="B642" s="120"/>
      <c r="C642" s="120"/>
      <c r="D642" s="120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  <c r="AA642" s="120"/>
      <c r="AB642" s="120"/>
      <c r="AC642" s="120"/>
      <c r="AD642" s="120"/>
      <c r="AE642" s="120"/>
      <c r="AF642" s="120"/>
    </row>
    <row r="643" ht="13.5" customHeight="1">
      <c r="A643" s="120"/>
      <c r="B643" s="120"/>
      <c r="C643" s="120"/>
      <c r="D643" s="120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  <c r="AA643" s="120"/>
      <c r="AB643" s="120"/>
      <c r="AC643" s="120"/>
      <c r="AD643" s="120"/>
      <c r="AE643" s="120"/>
      <c r="AF643" s="120"/>
    </row>
    <row r="644" ht="13.5" customHeight="1">
      <c r="A644" s="120"/>
      <c r="B644" s="120"/>
      <c r="C644" s="120"/>
      <c r="D644" s="120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  <c r="AA644" s="120"/>
      <c r="AB644" s="120"/>
      <c r="AC644" s="120"/>
      <c r="AD644" s="120"/>
      <c r="AE644" s="120"/>
      <c r="AF644" s="120"/>
    </row>
    <row r="645" ht="13.5" customHeight="1">
      <c r="A645" s="120"/>
      <c r="B645" s="120"/>
      <c r="C645" s="120"/>
      <c r="D645" s="120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  <c r="AA645" s="120"/>
      <c r="AB645" s="120"/>
      <c r="AC645" s="120"/>
      <c r="AD645" s="120"/>
      <c r="AE645" s="120"/>
      <c r="AF645" s="120"/>
    </row>
    <row r="646" ht="13.5" customHeight="1">
      <c r="A646" s="120"/>
      <c r="B646" s="120"/>
      <c r="C646" s="120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  <c r="AA646" s="120"/>
      <c r="AB646" s="120"/>
      <c r="AC646" s="120"/>
      <c r="AD646" s="120"/>
      <c r="AE646" s="120"/>
      <c r="AF646" s="120"/>
    </row>
    <row r="647" ht="13.5" customHeight="1">
      <c r="A647" s="120"/>
      <c r="B647" s="120"/>
      <c r="C647" s="120"/>
      <c r="D647" s="120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  <c r="AA647" s="120"/>
      <c r="AB647" s="120"/>
      <c r="AC647" s="120"/>
      <c r="AD647" s="120"/>
      <c r="AE647" s="120"/>
      <c r="AF647" s="120"/>
    </row>
    <row r="648" ht="13.5" customHeight="1">
      <c r="A648" s="120"/>
      <c r="B648" s="120"/>
      <c r="C648" s="120"/>
      <c r="D648" s="120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  <c r="AA648" s="120"/>
      <c r="AB648" s="120"/>
      <c r="AC648" s="120"/>
      <c r="AD648" s="120"/>
      <c r="AE648" s="120"/>
      <c r="AF648" s="120"/>
    </row>
    <row r="649" ht="13.5" customHeight="1">
      <c r="A649" s="120"/>
      <c r="B649" s="120"/>
      <c r="C649" s="120"/>
      <c r="D649" s="120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  <c r="AA649" s="120"/>
      <c r="AB649" s="120"/>
      <c r="AC649" s="120"/>
      <c r="AD649" s="120"/>
      <c r="AE649" s="120"/>
      <c r="AF649" s="120"/>
    </row>
    <row r="650" ht="13.5" customHeight="1">
      <c r="A650" s="120"/>
      <c r="B650" s="120"/>
      <c r="C650" s="120"/>
      <c r="D650" s="120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  <c r="AA650" s="120"/>
      <c r="AB650" s="120"/>
      <c r="AC650" s="120"/>
      <c r="AD650" s="120"/>
      <c r="AE650" s="120"/>
      <c r="AF650" s="120"/>
    </row>
    <row r="651" ht="13.5" customHeight="1">
      <c r="A651" s="120"/>
      <c r="B651" s="120"/>
      <c r="C651" s="120"/>
      <c r="D651" s="120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  <c r="AA651" s="120"/>
      <c r="AB651" s="120"/>
      <c r="AC651" s="120"/>
      <c r="AD651" s="120"/>
      <c r="AE651" s="120"/>
      <c r="AF651" s="120"/>
    </row>
    <row r="652" ht="13.5" customHeight="1">
      <c r="A652" s="120"/>
      <c r="B652" s="120"/>
      <c r="C652" s="120"/>
      <c r="D652" s="120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  <c r="AA652" s="120"/>
      <c r="AB652" s="120"/>
      <c r="AC652" s="120"/>
      <c r="AD652" s="120"/>
      <c r="AE652" s="120"/>
      <c r="AF652" s="120"/>
    </row>
    <row r="653" ht="13.5" customHeight="1">
      <c r="A653" s="120"/>
      <c r="B653" s="120"/>
      <c r="C653" s="120"/>
      <c r="D653" s="120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  <c r="AA653" s="120"/>
      <c r="AB653" s="120"/>
      <c r="AC653" s="120"/>
      <c r="AD653" s="120"/>
      <c r="AE653" s="120"/>
      <c r="AF653" s="120"/>
    </row>
    <row r="654" ht="13.5" customHeight="1">
      <c r="A654" s="120"/>
      <c r="B654" s="120"/>
      <c r="C654" s="120"/>
      <c r="D654" s="120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  <c r="AA654" s="120"/>
      <c r="AB654" s="120"/>
      <c r="AC654" s="120"/>
      <c r="AD654" s="120"/>
      <c r="AE654" s="120"/>
      <c r="AF654" s="120"/>
    </row>
    <row r="655" ht="13.5" customHeight="1">
      <c r="A655" s="120"/>
      <c r="B655" s="120"/>
      <c r="C655" s="120"/>
      <c r="D655" s="120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  <c r="AA655" s="120"/>
      <c r="AB655" s="120"/>
      <c r="AC655" s="120"/>
      <c r="AD655" s="120"/>
      <c r="AE655" s="120"/>
      <c r="AF655" s="120"/>
    </row>
    <row r="656" ht="13.5" customHeight="1">
      <c r="A656" s="120"/>
      <c r="B656" s="120"/>
      <c r="C656" s="120"/>
      <c r="D656" s="120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  <c r="AA656" s="120"/>
      <c r="AB656" s="120"/>
      <c r="AC656" s="120"/>
      <c r="AD656" s="120"/>
      <c r="AE656" s="120"/>
      <c r="AF656" s="120"/>
    </row>
    <row r="657" ht="13.5" customHeight="1">
      <c r="A657" s="120"/>
      <c r="B657" s="120"/>
      <c r="C657" s="120"/>
      <c r="D657" s="120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  <c r="AA657" s="120"/>
      <c r="AB657" s="120"/>
      <c r="AC657" s="120"/>
      <c r="AD657" s="120"/>
      <c r="AE657" s="120"/>
      <c r="AF657" s="120"/>
    </row>
    <row r="658" ht="13.5" customHeight="1">
      <c r="A658" s="120"/>
      <c r="B658" s="120"/>
      <c r="C658" s="120"/>
      <c r="D658" s="120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  <c r="AA658" s="120"/>
      <c r="AB658" s="120"/>
      <c r="AC658" s="120"/>
      <c r="AD658" s="120"/>
      <c r="AE658" s="120"/>
      <c r="AF658" s="120"/>
    </row>
    <row r="659" ht="13.5" customHeight="1">
      <c r="A659" s="120"/>
      <c r="B659" s="120"/>
      <c r="C659" s="120"/>
      <c r="D659" s="120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  <c r="AA659" s="120"/>
      <c r="AB659" s="120"/>
      <c r="AC659" s="120"/>
      <c r="AD659" s="120"/>
      <c r="AE659" s="120"/>
      <c r="AF659" s="120"/>
    </row>
    <row r="660" ht="13.5" customHeight="1">
      <c r="A660" s="120"/>
      <c r="B660" s="120"/>
      <c r="C660" s="120"/>
      <c r="D660" s="120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  <c r="AA660" s="120"/>
      <c r="AB660" s="120"/>
      <c r="AC660" s="120"/>
      <c r="AD660" s="120"/>
      <c r="AE660" s="120"/>
      <c r="AF660" s="120"/>
    </row>
    <row r="661" ht="13.5" customHeight="1">
      <c r="A661" s="120"/>
      <c r="B661" s="120"/>
      <c r="C661" s="120"/>
      <c r="D661" s="120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  <c r="AA661" s="120"/>
      <c r="AB661" s="120"/>
      <c r="AC661" s="120"/>
      <c r="AD661" s="120"/>
      <c r="AE661" s="120"/>
      <c r="AF661" s="120"/>
    </row>
    <row r="662" ht="13.5" customHeight="1">
      <c r="A662" s="120"/>
      <c r="B662" s="120"/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  <c r="AA662" s="120"/>
      <c r="AB662" s="120"/>
      <c r="AC662" s="120"/>
      <c r="AD662" s="120"/>
      <c r="AE662" s="120"/>
      <c r="AF662" s="120"/>
    </row>
    <row r="663" ht="13.5" customHeight="1">
      <c r="A663" s="120"/>
      <c r="B663" s="120"/>
      <c r="C663" s="120"/>
      <c r="D663" s="120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  <c r="AA663" s="120"/>
      <c r="AB663" s="120"/>
      <c r="AC663" s="120"/>
      <c r="AD663" s="120"/>
      <c r="AE663" s="120"/>
      <c r="AF663" s="120"/>
    </row>
    <row r="664" ht="13.5" customHeight="1">
      <c r="A664" s="120"/>
      <c r="B664" s="120"/>
      <c r="C664" s="120"/>
      <c r="D664" s="120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  <c r="AA664" s="120"/>
      <c r="AB664" s="120"/>
      <c r="AC664" s="120"/>
      <c r="AD664" s="120"/>
      <c r="AE664" s="120"/>
      <c r="AF664" s="120"/>
    </row>
    <row r="665" ht="13.5" customHeight="1">
      <c r="A665" s="120"/>
      <c r="B665" s="120"/>
      <c r="C665" s="120"/>
      <c r="D665" s="120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  <c r="AA665" s="120"/>
      <c r="AB665" s="120"/>
      <c r="AC665" s="120"/>
      <c r="AD665" s="120"/>
      <c r="AE665" s="120"/>
      <c r="AF665" s="120"/>
    </row>
    <row r="666" ht="13.5" customHeight="1">
      <c r="A666" s="120"/>
      <c r="B666" s="120"/>
      <c r="C666" s="120"/>
      <c r="D666" s="120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  <c r="AA666" s="120"/>
      <c r="AB666" s="120"/>
      <c r="AC666" s="120"/>
      <c r="AD666" s="120"/>
      <c r="AE666" s="120"/>
      <c r="AF666" s="120"/>
    </row>
    <row r="667" ht="13.5" customHeight="1">
      <c r="A667" s="120"/>
      <c r="B667" s="120"/>
      <c r="C667" s="120"/>
      <c r="D667" s="120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  <c r="AA667" s="120"/>
      <c r="AB667" s="120"/>
      <c r="AC667" s="120"/>
      <c r="AD667" s="120"/>
      <c r="AE667" s="120"/>
      <c r="AF667" s="120"/>
    </row>
    <row r="668" ht="13.5" customHeight="1">
      <c r="A668" s="120"/>
      <c r="B668" s="120"/>
      <c r="C668" s="120"/>
      <c r="D668" s="120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  <c r="AA668" s="120"/>
      <c r="AB668" s="120"/>
      <c r="AC668" s="120"/>
      <c r="AD668" s="120"/>
      <c r="AE668" s="120"/>
      <c r="AF668" s="120"/>
    </row>
    <row r="669" ht="13.5" customHeight="1">
      <c r="A669" s="120"/>
      <c r="B669" s="120"/>
      <c r="C669" s="120"/>
      <c r="D669" s="120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  <c r="AA669" s="120"/>
      <c r="AB669" s="120"/>
      <c r="AC669" s="120"/>
      <c r="AD669" s="120"/>
      <c r="AE669" s="120"/>
      <c r="AF669" s="120"/>
    </row>
    <row r="670" ht="13.5" customHeight="1">
      <c r="A670" s="120"/>
      <c r="B670" s="120"/>
      <c r="C670" s="120"/>
      <c r="D670" s="120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  <c r="AA670" s="120"/>
      <c r="AB670" s="120"/>
      <c r="AC670" s="120"/>
      <c r="AD670" s="120"/>
      <c r="AE670" s="120"/>
      <c r="AF670" s="120"/>
    </row>
    <row r="671" ht="13.5" customHeight="1">
      <c r="A671" s="120"/>
      <c r="B671" s="120"/>
      <c r="C671" s="120"/>
      <c r="D671" s="120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  <c r="AA671" s="120"/>
      <c r="AB671" s="120"/>
      <c r="AC671" s="120"/>
      <c r="AD671" s="120"/>
      <c r="AE671" s="120"/>
      <c r="AF671" s="120"/>
    </row>
    <row r="672" ht="13.5" customHeight="1">
      <c r="A672" s="120"/>
      <c r="B672" s="120"/>
      <c r="C672" s="120"/>
      <c r="D672" s="120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  <c r="AA672" s="120"/>
      <c r="AB672" s="120"/>
      <c r="AC672" s="120"/>
      <c r="AD672" s="120"/>
      <c r="AE672" s="120"/>
      <c r="AF672" s="120"/>
    </row>
    <row r="673" ht="13.5" customHeight="1">
      <c r="A673" s="120"/>
      <c r="B673" s="120"/>
      <c r="C673" s="120"/>
      <c r="D673" s="120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  <c r="AA673" s="120"/>
      <c r="AB673" s="120"/>
      <c r="AC673" s="120"/>
      <c r="AD673" s="120"/>
      <c r="AE673" s="120"/>
      <c r="AF673" s="120"/>
    </row>
    <row r="674" ht="13.5" customHeight="1">
      <c r="A674" s="120"/>
      <c r="B674" s="120"/>
      <c r="C674" s="120"/>
      <c r="D674" s="120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  <c r="AA674" s="120"/>
      <c r="AB674" s="120"/>
      <c r="AC674" s="120"/>
      <c r="AD674" s="120"/>
      <c r="AE674" s="120"/>
      <c r="AF674" s="120"/>
    </row>
    <row r="675" ht="13.5" customHeight="1">
      <c r="A675" s="120"/>
      <c r="B675" s="120"/>
      <c r="C675" s="120"/>
      <c r="D675" s="120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  <c r="AA675" s="120"/>
      <c r="AB675" s="120"/>
      <c r="AC675" s="120"/>
      <c r="AD675" s="120"/>
      <c r="AE675" s="120"/>
      <c r="AF675" s="120"/>
    </row>
    <row r="676" ht="13.5" customHeight="1">
      <c r="A676" s="120"/>
      <c r="B676" s="120"/>
      <c r="C676" s="120"/>
      <c r="D676" s="120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  <c r="AA676" s="120"/>
      <c r="AB676" s="120"/>
      <c r="AC676" s="120"/>
      <c r="AD676" s="120"/>
      <c r="AE676" s="120"/>
      <c r="AF676" s="120"/>
    </row>
    <row r="677" ht="13.5" customHeight="1">
      <c r="A677" s="120"/>
      <c r="B677" s="120"/>
      <c r="C677" s="120"/>
      <c r="D677" s="120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  <c r="AA677" s="120"/>
      <c r="AB677" s="120"/>
      <c r="AC677" s="120"/>
      <c r="AD677" s="120"/>
      <c r="AE677" s="120"/>
      <c r="AF677" s="120"/>
    </row>
    <row r="678" ht="13.5" customHeight="1">
      <c r="A678" s="120"/>
      <c r="B678" s="120"/>
      <c r="C678" s="120"/>
      <c r="D678" s="120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  <c r="AA678" s="120"/>
      <c r="AB678" s="120"/>
      <c r="AC678" s="120"/>
      <c r="AD678" s="120"/>
      <c r="AE678" s="120"/>
      <c r="AF678" s="120"/>
    </row>
    <row r="679" ht="13.5" customHeight="1">
      <c r="A679" s="120"/>
      <c r="B679" s="120"/>
      <c r="C679" s="120"/>
      <c r="D679" s="120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  <c r="AA679" s="120"/>
      <c r="AB679" s="120"/>
      <c r="AC679" s="120"/>
      <c r="AD679" s="120"/>
      <c r="AE679" s="120"/>
      <c r="AF679" s="120"/>
    </row>
    <row r="680" ht="13.5" customHeight="1">
      <c r="A680" s="120"/>
      <c r="B680" s="120"/>
      <c r="C680" s="120"/>
      <c r="D680" s="120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  <c r="AA680" s="120"/>
      <c r="AB680" s="120"/>
      <c r="AC680" s="120"/>
      <c r="AD680" s="120"/>
      <c r="AE680" s="120"/>
      <c r="AF680" s="120"/>
    </row>
    <row r="681" ht="13.5" customHeight="1">
      <c r="A681" s="120"/>
      <c r="B681" s="120"/>
      <c r="C681" s="120"/>
      <c r="D681" s="120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  <c r="AA681" s="120"/>
      <c r="AB681" s="120"/>
      <c r="AC681" s="120"/>
      <c r="AD681" s="120"/>
      <c r="AE681" s="120"/>
      <c r="AF681" s="120"/>
    </row>
    <row r="682" ht="13.5" customHeight="1">
      <c r="A682" s="120"/>
      <c r="B682" s="120"/>
      <c r="C682" s="120"/>
      <c r="D682" s="120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  <c r="AA682" s="120"/>
      <c r="AB682" s="120"/>
      <c r="AC682" s="120"/>
      <c r="AD682" s="120"/>
      <c r="AE682" s="120"/>
      <c r="AF682" s="120"/>
    </row>
    <row r="683" ht="13.5" customHeight="1">
      <c r="A683" s="120"/>
      <c r="B683" s="120"/>
      <c r="C683" s="120"/>
      <c r="D683" s="120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  <c r="AA683" s="120"/>
      <c r="AB683" s="120"/>
      <c r="AC683" s="120"/>
      <c r="AD683" s="120"/>
      <c r="AE683" s="120"/>
      <c r="AF683" s="120"/>
    </row>
    <row r="684" ht="13.5" customHeight="1">
      <c r="A684" s="120"/>
      <c r="B684" s="120"/>
      <c r="C684" s="120"/>
      <c r="D684" s="120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  <c r="AA684" s="120"/>
      <c r="AB684" s="120"/>
      <c r="AC684" s="120"/>
      <c r="AD684" s="120"/>
      <c r="AE684" s="120"/>
      <c r="AF684" s="120"/>
    </row>
    <row r="685" ht="13.5" customHeight="1">
      <c r="A685" s="120"/>
      <c r="B685" s="120"/>
      <c r="C685" s="120"/>
      <c r="D685" s="120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  <c r="AA685" s="120"/>
      <c r="AB685" s="120"/>
      <c r="AC685" s="120"/>
      <c r="AD685" s="120"/>
      <c r="AE685" s="120"/>
      <c r="AF685" s="120"/>
    </row>
    <row r="686" ht="13.5" customHeight="1">
      <c r="A686" s="120"/>
      <c r="B686" s="120"/>
      <c r="C686" s="120"/>
      <c r="D686" s="120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  <c r="AA686" s="120"/>
      <c r="AB686" s="120"/>
      <c r="AC686" s="120"/>
      <c r="AD686" s="120"/>
      <c r="AE686" s="120"/>
      <c r="AF686" s="120"/>
    </row>
    <row r="687" ht="13.5" customHeight="1">
      <c r="A687" s="120"/>
      <c r="B687" s="120"/>
      <c r="C687" s="120"/>
      <c r="D687" s="120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  <c r="AA687" s="120"/>
      <c r="AB687" s="120"/>
      <c r="AC687" s="120"/>
      <c r="AD687" s="120"/>
      <c r="AE687" s="120"/>
      <c r="AF687" s="120"/>
    </row>
    <row r="688" ht="13.5" customHeight="1">
      <c r="A688" s="120"/>
      <c r="B688" s="120"/>
      <c r="C688" s="120"/>
      <c r="D688" s="120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  <c r="AA688" s="120"/>
      <c r="AB688" s="120"/>
      <c r="AC688" s="120"/>
      <c r="AD688" s="120"/>
      <c r="AE688" s="120"/>
      <c r="AF688" s="120"/>
    </row>
    <row r="689" ht="13.5" customHeight="1">
      <c r="A689" s="120"/>
      <c r="B689" s="120"/>
      <c r="C689" s="120"/>
      <c r="D689" s="120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  <c r="AA689" s="120"/>
      <c r="AB689" s="120"/>
      <c r="AC689" s="120"/>
      <c r="AD689" s="120"/>
      <c r="AE689" s="120"/>
      <c r="AF689" s="120"/>
    </row>
    <row r="690" ht="13.5" customHeight="1">
      <c r="A690" s="120"/>
      <c r="B690" s="120"/>
      <c r="C690" s="120"/>
      <c r="D690" s="120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  <c r="AA690" s="120"/>
      <c r="AB690" s="120"/>
      <c r="AC690" s="120"/>
      <c r="AD690" s="120"/>
      <c r="AE690" s="120"/>
      <c r="AF690" s="120"/>
    </row>
    <row r="691" ht="13.5" customHeight="1">
      <c r="A691" s="120"/>
      <c r="B691" s="120"/>
      <c r="C691" s="120"/>
      <c r="D691" s="120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  <c r="AA691" s="120"/>
      <c r="AB691" s="120"/>
      <c r="AC691" s="120"/>
      <c r="AD691" s="120"/>
      <c r="AE691" s="120"/>
      <c r="AF691" s="120"/>
    </row>
    <row r="692" ht="13.5" customHeight="1">
      <c r="A692" s="120"/>
      <c r="B692" s="120"/>
      <c r="C692" s="120"/>
      <c r="D692" s="120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  <c r="AA692" s="120"/>
      <c r="AB692" s="120"/>
      <c r="AC692" s="120"/>
      <c r="AD692" s="120"/>
      <c r="AE692" s="120"/>
      <c r="AF692" s="120"/>
    </row>
    <row r="693" ht="13.5" customHeight="1">
      <c r="A693" s="120"/>
      <c r="B693" s="120"/>
      <c r="C693" s="120"/>
      <c r="D693" s="120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  <c r="AA693" s="120"/>
      <c r="AB693" s="120"/>
      <c r="AC693" s="120"/>
      <c r="AD693" s="120"/>
      <c r="AE693" s="120"/>
      <c r="AF693" s="120"/>
    </row>
    <row r="694" ht="13.5" customHeight="1">
      <c r="A694" s="120"/>
      <c r="B694" s="120"/>
      <c r="C694" s="120"/>
      <c r="D694" s="120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  <c r="AA694" s="120"/>
      <c r="AB694" s="120"/>
      <c r="AC694" s="120"/>
      <c r="AD694" s="120"/>
      <c r="AE694" s="120"/>
      <c r="AF694" s="120"/>
    </row>
    <row r="695" ht="13.5" customHeight="1">
      <c r="A695" s="120"/>
      <c r="B695" s="120"/>
      <c r="C695" s="120"/>
      <c r="D695" s="120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  <c r="AA695" s="120"/>
      <c r="AB695" s="120"/>
      <c r="AC695" s="120"/>
      <c r="AD695" s="120"/>
      <c r="AE695" s="120"/>
      <c r="AF695" s="120"/>
    </row>
    <row r="696" ht="13.5" customHeight="1">
      <c r="A696" s="120"/>
      <c r="B696" s="120"/>
      <c r="C696" s="120"/>
      <c r="D696" s="120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  <c r="AA696" s="120"/>
      <c r="AB696" s="120"/>
      <c r="AC696" s="120"/>
      <c r="AD696" s="120"/>
      <c r="AE696" s="120"/>
      <c r="AF696" s="120"/>
    </row>
    <row r="697" ht="13.5" customHeight="1">
      <c r="A697" s="120"/>
      <c r="B697" s="120"/>
      <c r="C697" s="120"/>
      <c r="D697" s="120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  <c r="AA697" s="120"/>
      <c r="AB697" s="120"/>
      <c r="AC697" s="120"/>
      <c r="AD697" s="120"/>
      <c r="AE697" s="120"/>
      <c r="AF697" s="120"/>
    </row>
    <row r="698" ht="13.5" customHeight="1">
      <c r="A698" s="120"/>
      <c r="B698" s="120"/>
      <c r="C698" s="120"/>
      <c r="D698" s="120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  <c r="AA698" s="120"/>
      <c r="AB698" s="120"/>
      <c r="AC698" s="120"/>
      <c r="AD698" s="120"/>
      <c r="AE698" s="120"/>
      <c r="AF698" s="120"/>
    </row>
    <row r="699" ht="13.5" customHeight="1">
      <c r="A699" s="120"/>
      <c r="B699" s="120"/>
      <c r="C699" s="120"/>
      <c r="D699" s="120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  <c r="AA699" s="120"/>
      <c r="AB699" s="120"/>
      <c r="AC699" s="120"/>
      <c r="AD699" s="120"/>
      <c r="AE699" s="120"/>
      <c r="AF699" s="120"/>
    </row>
    <row r="700" ht="13.5" customHeight="1">
      <c r="A700" s="120"/>
      <c r="B700" s="120"/>
      <c r="C700" s="120"/>
      <c r="D700" s="120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  <c r="AA700" s="120"/>
      <c r="AB700" s="120"/>
      <c r="AC700" s="120"/>
      <c r="AD700" s="120"/>
      <c r="AE700" s="120"/>
      <c r="AF700" s="120"/>
    </row>
    <row r="701" ht="13.5" customHeight="1">
      <c r="A701" s="120"/>
      <c r="B701" s="120"/>
      <c r="C701" s="120"/>
      <c r="D701" s="120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  <c r="AA701" s="120"/>
      <c r="AB701" s="120"/>
      <c r="AC701" s="120"/>
      <c r="AD701" s="120"/>
      <c r="AE701" s="120"/>
      <c r="AF701" s="120"/>
    </row>
    <row r="702" ht="13.5" customHeight="1">
      <c r="A702" s="120"/>
      <c r="B702" s="120"/>
      <c r="C702" s="120"/>
      <c r="D702" s="120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  <c r="AA702" s="120"/>
      <c r="AB702" s="120"/>
      <c r="AC702" s="120"/>
      <c r="AD702" s="120"/>
      <c r="AE702" s="120"/>
      <c r="AF702" s="120"/>
    </row>
    <row r="703" ht="13.5" customHeight="1">
      <c r="A703" s="120"/>
      <c r="B703" s="120"/>
      <c r="C703" s="120"/>
      <c r="D703" s="120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  <c r="AA703" s="120"/>
      <c r="AB703" s="120"/>
      <c r="AC703" s="120"/>
      <c r="AD703" s="120"/>
      <c r="AE703" s="120"/>
      <c r="AF703" s="120"/>
    </row>
    <row r="704" ht="13.5" customHeight="1">
      <c r="A704" s="120"/>
      <c r="B704" s="120"/>
      <c r="C704" s="120"/>
      <c r="D704" s="120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  <c r="AA704" s="120"/>
      <c r="AB704" s="120"/>
      <c r="AC704" s="120"/>
      <c r="AD704" s="120"/>
      <c r="AE704" s="120"/>
      <c r="AF704" s="120"/>
    </row>
    <row r="705" ht="13.5" customHeight="1">
      <c r="A705" s="120"/>
      <c r="B705" s="120"/>
      <c r="C705" s="120"/>
      <c r="D705" s="120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  <c r="AA705" s="120"/>
      <c r="AB705" s="120"/>
      <c r="AC705" s="120"/>
      <c r="AD705" s="120"/>
      <c r="AE705" s="120"/>
      <c r="AF705" s="120"/>
    </row>
    <row r="706" ht="13.5" customHeight="1">
      <c r="A706" s="120"/>
      <c r="B706" s="120"/>
      <c r="C706" s="120"/>
      <c r="D706" s="120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  <c r="AA706" s="120"/>
      <c r="AB706" s="120"/>
      <c r="AC706" s="120"/>
      <c r="AD706" s="120"/>
      <c r="AE706" s="120"/>
      <c r="AF706" s="120"/>
    </row>
    <row r="707" ht="13.5" customHeight="1">
      <c r="A707" s="120"/>
      <c r="B707" s="120"/>
      <c r="C707" s="120"/>
      <c r="D707" s="120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  <c r="AA707" s="120"/>
      <c r="AB707" s="120"/>
      <c r="AC707" s="120"/>
      <c r="AD707" s="120"/>
      <c r="AE707" s="120"/>
      <c r="AF707" s="120"/>
    </row>
    <row r="708" ht="13.5" customHeight="1">
      <c r="A708" s="120"/>
      <c r="B708" s="120"/>
      <c r="C708" s="120"/>
      <c r="D708" s="120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  <c r="AA708" s="120"/>
      <c r="AB708" s="120"/>
      <c r="AC708" s="120"/>
      <c r="AD708" s="120"/>
      <c r="AE708" s="120"/>
      <c r="AF708" s="120"/>
    </row>
    <row r="709" ht="13.5" customHeight="1">
      <c r="A709" s="120"/>
      <c r="B709" s="120"/>
      <c r="C709" s="120"/>
      <c r="D709" s="120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  <c r="AA709" s="120"/>
      <c r="AB709" s="120"/>
      <c r="AC709" s="120"/>
      <c r="AD709" s="120"/>
      <c r="AE709" s="120"/>
      <c r="AF709" s="120"/>
    </row>
    <row r="710" ht="13.5" customHeight="1">
      <c r="A710" s="120"/>
      <c r="B710" s="120"/>
      <c r="C710" s="120"/>
      <c r="D710" s="120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  <c r="AA710" s="120"/>
      <c r="AB710" s="120"/>
      <c r="AC710" s="120"/>
      <c r="AD710" s="120"/>
      <c r="AE710" s="120"/>
      <c r="AF710" s="120"/>
    </row>
    <row r="711" ht="13.5" customHeight="1">
      <c r="A711" s="120"/>
      <c r="B711" s="120"/>
      <c r="C711" s="120"/>
      <c r="D711" s="120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  <c r="AA711" s="120"/>
      <c r="AB711" s="120"/>
      <c r="AC711" s="120"/>
      <c r="AD711" s="120"/>
      <c r="AE711" s="120"/>
      <c r="AF711" s="120"/>
    </row>
    <row r="712" ht="13.5" customHeight="1">
      <c r="A712" s="120"/>
      <c r="B712" s="120"/>
      <c r="C712" s="120"/>
      <c r="D712" s="120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  <c r="AA712" s="120"/>
      <c r="AB712" s="120"/>
      <c r="AC712" s="120"/>
      <c r="AD712" s="120"/>
      <c r="AE712" s="120"/>
      <c r="AF712" s="120"/>
    </row>
    <row r="713" ht="13.5" customHeight="1">
      <c r="A713" s="120"/>
      <c r="B713" s="120"/>
      <c r="C713" s="120"/>
      <c r="D713" s="120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  <c r="AA713" s="120"/>
      <c r="AB713" s="120"/>
      <c r="AC713" s="120"/>
      <c r="AD713" s="120"/>
      <c r="AE713" s="120"/>
      <c r="AF713" s="120"/>
    </row>
    <row r="714" ht="13.5" customHeight="1">
      <c r="A714" s="120"/>
      <c r="B714" s="120"/>
      <c r="C714" s="120"/>
      <c r="D714" s="120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  <c r="AA714" s="120"/>
      <c r="AB714" s="120"/>
      <c r="AC714" s="120"/>
      <c r="AD714" s="120"/>
      <c r="AE714" s="120"/>
      <c r="AF714" s="120"/>
    </row>
    <row r="715" ht="13.5" customHeight="1">
      <c r="A715" s="120"/>
      <c r="B715" s="120"/>
      <c r="C715" s="120"/>
      <c r="D715" s="120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  <c r="AA715" s="120"/>
      <c r="AB715" s="120"/>
      <c r="AC715" s="120"/>
      <c r="AD715" s="120"/>
      <c r="AE715" s="120"/>
      <c r="AF715" s="120"/>
    </row>
    <row r="716" ht="13.5" customHeight="1">
      <c r="A716" s="120"/>
      <c r="B716" s="120"/>
      <c r="C716" s="120"/>
      <c r="D716" s="120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  <c r="AA716" s="120"/>
      <c r="AB716" s="120"/>
      <c r="AC716" s="120"/>
      <c r="AD716" s="120"/>
      <c r="AE716" s="120"/>
      <c r="AF716" s="120"/>
    </row>
    <row r="717" ht="13.5" customHeight="1">
      <c r="A717" s="120"/>
      <c r="B717" s="120"/>
      <c r="C717" s="120"/>
      <c r="D717" s="120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  <c r="AA717" s="120"/>
      <c r="AB717" s="120"/>
      <c r="AC717" s="120"/>
      <c r="AD717" s="120"/>
      <c r="AE717" s="120"/>
      <c r="AF717" s="120"/>
    </row>
    <row r="718" ht="13.5" customHeight="1">
      <c r="A718" s="120"/>
      <c r="B718" s="120"/>
      <c r="C718" s="120"/>
      <c r="D718" s="120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  <c r="AA718" s="120"/>
      <c r="AB718" s="120"/>
      <c r="AC718" s="120"/>
      <c r="AD718" s="120"/>
      <c r="AE718" s="120"/>
      <c r="AF718" s="120"/>
    </row>
    <row r="719" ht="13.5" customHeight="1">
      <c r="A719" s="120"/>
      <c r="B719" s="120"/>
      <c r="C719" s="120"/>
      <c r="D719" s="120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  <c r="AA719" s="120"/>
      <c r="AB719" s="120"/>
      <c r="AC719" s="120"/>
      <c r="AD719" s="120"/>
      <c r="AE719" s="120"/>
      <c r="AF719" s="120"/>
    </row>
    <row r="720" ht="13.5" customHeight="1">
      <c r="A720" s="120"/>
      <c r="B720" s="120"/>
      <c r="C720" s="120"/>
      <c r="D720" s="120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  <c r="AA720" s="120"/>
      <c r="AB720" s="120"/>
      <c r="AC720" s="120"/>
      <c r="AD720" s="120"/>
      <c r="AE720" s="120"/>
      <c r="AF720" s="120"/>
    </row>
    <row r="721" ht="13.5" customHeight="1">
      <c r="A721" s="120"/>
      <c r="B721" s="120"/>
      <c r="C721" s="120"/>
      <c r="D721" s="120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  <c r="AA721" s="120"/>
      <c r="AB721" s="120"/>
      <c r="AC721" s="120"/>
      <c r="AD721" s="120"/>
      <c r="AE721" s="120"/>
      <c r="AF721" s="120"/>
    </row>
    <row r="722" ht="13.5" customHeight="1">
      <c r="A722" s="120"/>
      <c r="B722" s="120"/>
      <c r="C722" s="120"/>
      <c r="D722" s="120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  <c r="AA722" s="120"/>
      <c r="AB722" s="120"/>
      <c r="AC722" s="120"/>
      <c r="AD722" s="120"/>
      <c r="AE722" s="120"/>
      <c r="AF722" s="120"/>
    </row>
    <row r="723" ht="13.5" customHeight="1">
      <c r="A723" s="120"/>
      <c r="B723" s="120"/>
      <c r="C723" s="120"/>
      <c r="D723" s="120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  <c r="AA723" s="120"/>
      <c r="AB723" s="120"/>
      <c r="AC723" s="120"/>
      <c r="AD723" s="120"/>
      <c r="AE723" s="120"/>
      <c r="AF723" s="120"/>
    </row>
    <row r="724" ht="13.5" customHeight="1">
      <c r="A724" s="120"/>
      <c r="B724" s="120"/>
      <c r="C724" s="120"/>
      <c r="D724" s="120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  <c r="AA724" s="120"/>
      <c r="AB724" s="120"/>
      <c r="AC724" s="120"/>
      <c r="AD724" s="120"/>
      <c r="AE724" s="120"/>
      <c r="AF724" s="120"/>
    </row>
    <row r="725" ht="13.5" customHeight="1">
      <c r="A725" s="120"/>
      <c r="B725" s="120"/>
      <c r="C725" s="120"/>
      <c r="D725" s="120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  <c r="AA725" s="120"/>
      <c r="AB725" s="120"/>
      <c r="AC725" s="120"/>
      <c r="AD725" s="120"/>
      <c r="AE725" s="120"/>
      <c r="AF725" s="120"/>
    </row>
    <row r="726" ht="13.5" customHeight="1">
      <c r="A726" s="120"/>
      <c r="B726" s="120"/>
      <c r="C726" s="120"/>
      <c r="D726" s="120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  <c r="AA726" s="120"/>
      <c r="AB726" s="120"/>
      <c r="AC726" s="120"/>
      <c r="AD726" s="120"/>
      <c r="AE726" s="120"/>
      <c r="AF726" s="120"/>
    </row>
    <row r="727" ht="13.5" customHeight="1">
      <c r="A727" s="120"/>
      <c r="B727" s="120"/>
      <c r="C727" s="120"/>
      <c r="D727" s="120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  <c r="AA727" s="120"/>
      <c r="AB727" s="120"/>
      <c r="AC727" s="120"/>
      <c r="AD727" s="120"/>
      <c r="AE727" s="120"/>
      <c r="AF727" s="120"/>
    </row>
    <row r="728" ht="13.5" customHeight="1">
      <c r="A728" s="120"/>
      <c r="B728" s="120"/>
      <c r="C728" s="120"/>
      <c r="D728" s="120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  <c r="AA728" s="120"/>
      <c r="AB728" s="120"/>
      <c r="AC728" s="120"/>
      <c r="AD728" s="120"/>
      <c r="AE728" s="120"/>
      <c r="AF728" s="120"/>
    </row>
    <row r="729" ht="13.5" customHeight="1">
      <c r="A729" s="120"/>
      <c r="B729" s="120"/>
      <c r="C729" s="120"/>
      <c r="D729" s="120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  <c r="AA729" s="120"/>
      <c r="AB729" s="120"/>
      <c r="AC729" s="120"/>
      <c r="AD729" s="120"/>
      <c r="AE729" s="120"/>
      <c r="AF729" s="120"/>
    </row>
    <row r="730" ht="13.5" customHeight="1">
      <c r="A730" s="120"/>
      <c r="B730" s="120"/>
      <c r="C730" s="120"/>
      <c r="D730" s="120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  <c r="AA730" s="120"/>
      <c r="AB730" s="120"/>
      <c r="AC730" s="120"/>
      <c r="AD730" s="120"/>
      <c r="AE730" s="120"/>
      <c r="AF730" s="120"/>
    </row>
    <row r="731" ht="13.5" customHeight="1">
      <c r="A731" s="120"/>
      <c r="B731" s="120"/>
      <c r="C731" s="120"/>
      <c r="D731" s="120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  <c r="AA731" s="120"/>
      <c r="AB731" s="120"/>
      <c r="AC731" s="120"/>
      <c r="AD731" s="120"/>
      <c r="AE731" s="120"/>
      <c r="AF731" s="120"/>
    </row>
    <row r="732" ht="13.5" customHeight="1">
      <c r="A732" s="120"/>
      <c r="B732" s="120"/>
      <c r="C732" s="120"/>
      <c r="D732" s="120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  <c r="AA732" s="120"/>
      <c r="AB732" s="120"/>
      <c r="AC732" s="120"/>
      <c r="AD732" s="120"/>
      <c r="AE732" s="120"/>
      <c r="AF732" s="120"/>
    </row>
    <row r="733" ht="13.5" customHeight="1">
      <c r="A733" s="120"/>
      <c r="B733" s="120"/>
      <c r="C733" s="120"/>
      <c r="D733" s="120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  <c r="AA733" s="120"/>
      <c r="AB733" s="120"/>
      <c r="AC733" s="120"/>
      <c r="AD733" s="120"/>
      <c r="AE733" s="120"/>
      <c r="AF733" s="120"/>
    </row>
    <row r="734" ht="13.5" customHeight="1">
      <c r="A734" s="120"/>
      <c r="B734" s="120"/>
      <c r="C734" s="120"/>
      <c r="D734" s="120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  <c r="AA734" s="120"/>
      <c r="AB734" s="120"/>
      <c r="AC734" s="120"/>
      <c r="AD734" s="120"/>
      <c r="AE734" s="120"/>
      <c r="AF734" s="120"/>
    </row>
    <row r="735" ht="13.5" customHeight="1">
      <c r="A735" s="120"/>
      <c r="B735" s="120"/>
      <c r="C735" s="120"/>
      <c r="D735" s="120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  <c r="AA735" s="120"/>
      <c r="AB735" s="120"/>
      <c r="AC735" s="120"/>
      <c r="AD735" s="120"/>
      <c r="AE735" s="120"/>
      <c r="AF735" s="120"/>
    </row>
    <row r="736" ht="13.5" customHeight="1">
      <c r="A736" s="120"/>
      <c r="B736" s="120"/>
      <c r="C736" s="120"/>
      <c r="D736" s="120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  <c r="AA736" s="120"/>
      <c r="AB736" s="120"/>
      <c r="AC736" s="120"/>
      <c r="AD736" s="120"/>
      <c r="AE736" s="120"/>
      <c r="AF736" s="120"/>
    </row>
    <row r="737" ht="13.5" customHeight="1">
      <c r="A737" s="120"/>
      <c r="B737" s="120"/>
      <c r="C737" s="120"/>
      <c r="D737" s="120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  <c r="AA737" s="120"/>
      <c r="AB737" s="120"/>
      <c r="AC737" s="120"/>
      <c r="AD737" s="120"/>
      <c r="AE737" s="120"/>
      <c r="AF737" s="120"/>
    </row>
    <row r="738" ht="13.5" customHeight="1">
      <c r="A738" s="120"/>
      <c r="B738" s="120"/>
      <c r="C738" s="120"/>
      <c r="D738" s="120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  <c r="AA738" s="120"/>
      <c r="AB738" s="120"/>
      <c r="AC738" s="120"/>
      <c r="AD738" s="120"/>
      <c r="AE738" s="120"/>
      <c r="AF738" s="120"/>
    </row>
    <row r="739" ht="13.5" customHeight="1">
      <c r="A739" s="120"/>
      <c r="B739" s="120"/>
      <c r="C739" s="120"/>
      <c r="D739" s="120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  <c r="AA739" s="120"/>
      <c r="AB739" s="120"/>
      <c r="AC739" s="120"/>
      <c r="AD739" s="120"/>
      <c r="AE739" s="120"/>
      <c r="AF739" s="120"/>
    </row>
    <row r="740" ht="13.5" customHeight="1">
      <c r="A740" s="120"/>
      <c r="B740" s="120"/>
      <c r="C740" s="120"/>
      <c r="D740" s="120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  <c r="AA740" s="120"/>
      <c r="AB740" s="120"/>
      <c r="AC740" s="120"/>
      <c r="AD740" s="120"/>
      <c r="AE740" s="120"/>
      <c r="AF740" s="120"/>
    </row>
    <row r="741" ht="13.5" customHeight="1">
      <c r="A741" s="120"/>
      <c r="B741" s="120"/>
      <c r="C741" s="120"/>
      <c r="D741" s="120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  <c r="AA741" s="120"/>
      <c r="AB741" s="120"/>
      <c r="AC741" s="120"/>
      <c r="AD741" s="120"/>
      <c r="AE741" s="120"/>
      <c r="AF741" s="120"/>
    </row>
    <row r="742" ht="13.5" customHeight="1">
      <c r="A742" s="120"/>
      <c r="B742" s="120"/>
      <c r="C742" s="120"/>
      <c r="D742" s="120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  <c r="AA742" s="120"/>
      <c r="AB742" s="120"/>
      <c r="AC742" s="120"/>
      <c r="AD742" s="120"/>
      <c r="AE742" s="120"/>
      <c r="AF742" s="120"/>
    </row>
    <row r="743" ht="13.5" customHeight="1">
      <c r="A743" s="120"/>
      <c r="B743" s="120"/>
      <c r="C743" s="120"/>
      <c r="D743" s="120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  <c r="AA743" s="120"/>
      <c r="AB743" s="120"/>
      <c r="AC743" s="120"/>
      <c r="AD743" s="120"/>
      <c r="AE743" s="120"/>
      <c r="AF743" s="120"/>
    </row>
    <row r="744" ht="13.5" customHeight="1">
      <c r="A744" s="120"/>
      <c r="B744" s="120"/>
      <c r="C744" s="120"/>
      <c r="D744" s="120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  <c r="AA744" s="120"/>
      <c r="AB744" s="120"/>
      <c r="AC744" s="120"/>
      <c r="AD744" s="120"/>
      <c r="AE744" s="120"/>
      <c r="AF744" s="120"/>
    </row>
    <row r="745" ht="13.5" customHeight="1">
      <c r="A745" s="120"/>
      <c r="B745" s="120"/>
      <c r="C745" s="120"/>
      <c r="D745" s="120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  <c r="AA745" s="120"/>
      <c r="AB745" s="120"/>
      <c r="AC745" s="120"/>
      <c r="AD745" s="120"/>
      <c r="AE745" s="120"/>
      <c r="AF745" s="120"/>
    </row>
    <row r="746" ht="13.5" customHeight="1">
      <c r="A746" s="120"/>
      <c r="B746" s="120"/>
      <c r="C746" s="120"/>
      <c r="D746" s="120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  <c r="AA746" s="120"/>
      <c r="AB746" s="120"/>
      <c r="AC746" s="120"/>
      <c r="AD746" s="120"/>
      <c r="AE746" s="120"/>
      <c r="AF746" s="120"/>
    </row>
    <row r="747" ht="13.5" customHeight="1">
      <c r="A747" s="120"/>
      <c r="B747" s="120"/>
      <c r="C747" s="120"/>
      <c r="D747" s="120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  <c r="AA747" s="120"/>
      <c r="AB747" s="120"/>
      <c r="AC747" s="120"/>
      <c r="AD747" s="120"/>
      <c r="AE747" s="120"/>
      <c r="AF747" s="120"/>
    </row>
    <row r="748" ht="13.5" customHeight="1">
      <c r="A748" s="120"/>
      <c r="B748" s="120"/>
      <c r="C748" s="120"/>
      <c r="D748" s="120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  <c r="AA748" s="120"/>
      <c r="AB748" s="120"/>
      <c r="AC748" s="120"/>
      <c r="AD748" s="120"/>
      <c r="AE748" s="120"/>
      <c r="AF748" s="120"/>
    </row>
    <row r="749" ht="13.5" customHeight="1">
      <c r="A749" s="120"/>
      <c r="B749" s="120"/>
      <c r="C749" s="120"/>
      <c r="D749" s="120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  <c r="AA749" s="120"/>
      <c r="AB749" s="120"/>
      <c r="AC749" s="120"/>
      <c r="AD749" s="120"/>
      <c r="AE749" s="120"/>
      <c r="AF749" s="120"/>
    </row>
    <row r="750" ht="13.5" customHeight="1">
      <c r="A750" s="120"/>
      <c r="B750" s="120"/>
      <c r="C750" s="120"/>
      <c r="D750" s="120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  <c r="AA750" s="120"/>
      <c r="AB750" s="120"/>
      <c r="AC750" s="120"/>
      <c r="AD750" s="120"/>
      <c r="AE750" s="120"/>
      <c r="AF750" s="120"/>
    </row>
    <row r="751" ht="13.5" customHeight="1">
      <c r="A751" s="120"/>
      <c r="B751" s="120"/>
      <c r="C751" s="120"/>
      <c r="D751" s="120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  <c r="AA751" s="120"/>
      <c r="AB751" s="120"/>
      <c r="AC751" s="120"/>
      <c r="AD751" s="120"/>
      <c r="AE751" s="120"/>
      <c r="AF751" s="120"/>
    </row>
    <row r="752" ht="13.5" customHeight="1">
      <c r="A752" s="120"/>
      <c r="B752" s="120"/>
      <c r="C752" s="120"/>
      <c r="D752" s="120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  <c r="AA752" s="120"/>
      <c r="AB752" s="120"/>
      <c r="AC752" s="120"/>
      <c r="AD752" s="120"/>
      <c r="AE752" s="120"/>
      <c r="AF752" s="120"/>
    </row>
    <row r="753" ht="13.5" customHeight="1">
      <c r="A753" s="120"/>
      <c r="B753" s="120"/>
      <c r="C753" s="120"/>
      <c r="D753" s="120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  <c r="AA753" s="120"/>
      <c r="AB753" s="120"/>
      <c r="AC753" s="120"/>
      <c r="AD753" s="120"/>
      <c r="AE753" s="120"/>
      <c r="AF753" s="120"/>
    </row>
    <row r="754" ht="13.5" customHeight="1">
      <c r="A754" s="120"/>
      <c r="B754" s="120"/>
      <c r="C754" s="120"/>
      <c r="D754" s="120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  <c r="AA754" s="120"/>
      <c r="AB754" s="120"/>
      <c r="AC754" s="120"/>
      <c r="AD754" s="120"/>
      <c r="AE754" s="120"/>
      <c r="AF754" s="120"/>
    </row>
    <row r="755" ht="13.5" customHeight="1">
      <c r="A755" s="120"/>
      <c r="B755" s="120"/>
      <c r="C755" s="120"/>
      <c r="D755" s="120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  <c r="AA755" s="120"/>
      <c r="AB755" s="120"/>
      <c r="AC755" s="120"/>
      <c r="AD755" s="120"/>
      <c r="AE755" s="120"/>
      <c r="AF755" s="120"/>
    </row>
    <row r="756" ht="13.5" customHeight="1">
      <c r="A756" s="120"/>
      <c r="B756" s="120"/>
      <c r="C756" s="120"/>
      <c r="D756" s="120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  <c r="AA756" s="120"/>
      <c r="AB756" s="120"/>
      <c r="AC756" s="120"/>
      <c r="AD756" s="120"/>
      <c r="AE756" s="120"/>
      <c r="AF756" s="120"/>
    </row>
    <row r="757" ht="13.5" customHeight="1">
      <c r="A757" s="120"/>
      <c r="B757" s="120"/>
      <c r="C757" s="120"/>
      <c r="D757" s="120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  <c r="AA757" s="120"/>
      <c r="AB757" s="120"/>
      <c r="AC757" s="120"/>
      <c r="AD757" s="120"/>
      <c r="AE757" s="120"/>
      <c r="AF757" s="120"/>
    </row>
    <row r="758" ht="13.5" customHeight="1">
      <c r="A758" s="120"/>
      <c r="B758" s="120"/>
      <c r="C758" s="120"/>
      <c r="D758" s="120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  <c r="AA758" s="120"/>
      <c r="AB758" s="120"/>
      <c r="AC758" s="120"/>
      <c r="AD758" s="120"/>
      <c r="AE758" s="120"/>
      <c r="AF758" s="120"/>
    </row>
    <row r="759" ht="13.5" customHeight="1">
      <c r="A759" s="120"/>
      <c r="B759" s="120"/>
      <c r="C759" s="120"/>
      <c r="D759" s="120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  <c r="AA759" s="120"/>
      <c r="AB759" s="120"/>
      <c r="AC759" s="120"/>
      <c r="AD759" s="120"/>
      <c r="AE759" s="120"/>
      <c r="AF759" s="120"/>
    </row>
    <row r="760" ht="13.5" customHeight="1">
      <c r="A760" s="120"/>
      <c r="B760" s="120"/>
      <c r="C760" s="120"/>
      <c r="D760" s="120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  <c r="AA760" s="120"/>
      <c r="AB760" s="120"/>
      <c r="AC760" s="120"/>
      <c r="AD760" s="120"/>
      <c r="AE760" s="120"/>
      <c r="AF760" s="120"/>
    </row>
    <row r="761" ht="13.5" customHeight="1">
      <c r="A761" s="120"/>
      <c r="B761" s="120"/>
      <c r="C761" s="120"/>
      <c r="D761" s="120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  <c r="AA761" s="120"/>
      <c r="AB761" s="120"/>
      <c r="AC761" s="120"/>
      <c r="AD761" s="120"/>
      <c r="AE761" s="120"/>
      <c r="AF761" s="120"/>
    </row>
    <row r="762" ht="13.5" customHeight="1">
      <c r="A762" s="120"/>
      <c r="B762" s="120"/>
      <c r="C762" s="120"/>
      <c r="D762" s="120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  <c r="AA762" s="120"/>
      <c r="AB762" s="120"/>
      <c r="AC762" s="120"/>
      <c r="AD762" s="120"/>
      <c r="AE762" s="120"/>
      <c r="AF762" s="120"/>
    </row>
    <row r="763" ht="13.5" customHeight="1">
      <c r="A763" s="120"/>
      <c r="B763" s="120"/>
      <c r="C763" s="120"/>
      <c r="D763" s="120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  <c r="AA763" s="120"/>
      <c r="AB763" s="120"/>
      <c r="AC763" s="120"/>
      <c r="AD763" s="120"/>
      <c r="AE763" s="120"/>
      <c r="AF763" s="120"/>
    </row>
    <row r="764" ht="13.5" customHeight="1">
      <c r="A764" s="120"/>
      <c r="B764" s="120"/>
      <c r="C764" s="120"/>
      <c r="D764" s="120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  <c r="AA764" s="120"/>
      <c r="AB764" s="120"/>
      <c r="AC764" s="120"/>
      <c r="AD764" s="120"/>
      <c r="AE764" s="120"/>
      <c r="AF764" s="120"/>
    </row>
    <row r="765" ht="13.5" customHeight="1">
      <c r="A765" s="120"/>
      <c r="B765" s="120"/>
      <c r="C765" s="120"/>
      <c r="D765" s="120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  <c r="AA765" s="120"/>
      <c r="AB765" s="120"/>
      <c r="AC765" s="120"/>
      <c r="AD765" s="120"/>
      <c r="AE765" s="120"/>
      <c r="AF765" s="120"/>
    </row>
    <row r="766" ht="13.5" customHeight="1">
      <c r="A766" s="120"/>
      <c r="B766" s="120"/>
      <c r="C766" s="120"/>
      <c r="D766" s="120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  <c r="AA766" s="120"/>
      <c r="AB766" s="120"/>
      <c r="AC766" s="120"/>
      <c r="AD766" s="120"/>
      <c r="AE766" s="120"/>
      <c r="AF766" s="120"/>
    </row>
    <row r="767" ht="13.5" customHeight="1">
      <c r="A767" s="120"/>
      <c r="B767" s="120"/>
      <c r="C767" s="120"/>
      <c r="D767" s="120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  <c r="AA767" s="120"/>
      <c r="AB767" s="120"/>
      <c r="AC767" s="120"/>
      <c r="AD767" s="120"/>
      <c r="AE767" s="120"/>
      <c r="AF767" s="120"/>
    </row>
    <row r="768" ht="13.5" customHeight="1">
      <c r="A768" s="120"/>
      <c r="B768" s="120"/>
      <c r="C768" s="120"/>
      <c r="D768" s="120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  <c r="AA768" s="120"/>
      <c r="AB768" s="120"/>
      <c r="AC768" s="120"/>
      <c r="AD768" s="120"/>
      <c r="AE768" s="120"/>
      <c r="AF768" s="120"/>
    </row>
    <row r="769" ht="13.5" customHeight="1">
      <c r="A769" s="120"/>
      <c r="B769" s="120"/>
      <c r="C769" s="120"/>
      <c r="D769" s="120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  <c r="AA769" s="120"/>
      <c r="AB769" s="120"/>
      <c r="AC769" s="120"/>
      <c r="AD769" s="120"/>
      <c r="AE769" s="120"/>
      <c r="AF769" s="120"/>
    </row>
    <row r="770" ht="13.5" customHeight="1">
      <c r="A770" s="120"/>
      <c r="B770" s="120"/>
      <c r="C770" s="120"/>
      <c r="D770" s="120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  <c r="AA770" s="120"/>
      <c r="AB770" s="120"/>
      <c r="AC770" s="120"/>
      <c r="AD770" s="120"/>
      <c r="AE770" s="120"/>
      <c r="AF770" s="120"/>
    </row>
    <row r="771" ht="13.5" customHeight="1">
      <c r="A771" s="120"/>
      <c r="B771" s="120"/>
      <c r="C771" s="120"/>
      <c r="D771" s="120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  <c r="AA771" s="120"/>
      <c r="AB771" s="120"/>
      <c r="AC771" s="120"/>
      <c r="AD771" s="120"/>
      <c r="AE771" s="120"/>
      <c r="AF771" s="120"/>
    </row>
    <row r="772" ht="13.5" customHeight="1">
      <c r="A772" s="120"/>
      <c r="B772" s="120"/>
      <c r="C772" s="120"/>
      <c r="D772" s="120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  <c r="AA772" s="120"/>
      <c r="AB772" s="120"/>
      <c r="AC772" s="120"/>
      <c r="AD772" s="120"/>
      <c r="AE772" s="120"/>
      <c r="AF772" s="120"/>
    </row>
    <row r="773" ht="13.5" customHeight="1">
      <c r="A773" s="120"/>
      <c r="B773" s="120"/>
      <c r="C773" s="120"/>
      <c r="D773" s="120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  <c r="AA773" s="120"/>
      <c r="AB773" s="120"/>
      <c r="AC773" s="120"/>
      <c r="AD773" s="120"/>
      <c r="AE773" s="120"/>
      <c r="AF773" s="120"/>
    </row>
    <row r="774" ht="13.5" customHeight="1">
      <c r="A774" s="120"/>
      <c r="B774" s="120"/>
      <c r="C774" s="120"/>
      <c r="D774" s="120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  <c r="AA774" s="120"/>
      <c r="AB774" s="120"/>
      <c r="AC774" s="120"/>
      <c r="AD774" s="120"/>
      <c r="AE774" s="120"/>
      <c r="AF774" s="120"/>
    </row>
    <row r="775" ht="13.5" customHeight="1">
      <c r="A775" s="120"/>
      <c r="B775" s="120"/>
      <c r="C775" s="120"/>
      <c r="D775" s="120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  <c r="AA775" s="120"/>
      <c r="AB775" s="120"/>
      <c r="AC775" s="120"/>
      <c r="AD775" s="120"/>
      <c r="AE775" s="120"/>
      <c r="AF775" s="120"/>
    </row>
    <row r="776" ht="13.5" customHeight="1">
      <c r="A776" s="120"/>
      <c r="B776" s="120"/>
      <c r="C776" s="120"/>
      <c r="D776" s="120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  <c r="AA776" s="120"/>
      <c r="AB776" s="120"/>
      <c r="AC776" s="120"/>
      <c r="AD776" s="120"/>
      <c r="AE776" s="120"/>
      <c r="AF776" s="120"/>
    </row>
    <row r="777" ht="13.5" customHeight="1">
      <c r="A777" s="120"/>
      <c r="B777" s="120"/>
      <c r="C777" s="120"/>
      <c r="D777" s="120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  <c r="AA777" s="120"/>
      <c r="AB777" s="120"/>
      <c r="AC777" s="120"/>
      <c r="AD777" s="120"/>
      <c r="AE777" s="120"/>
      <c r="AF777" s="120"/>
    </row>
    <row r="778" ht="13.5" customHeight="1">
      <c r="A778" s="120"/>
      <c r="B778" s="120"/>
      <c r="C778" s="120"/>
      <c r="D778" s="120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  <c r="AA778" s="120"/>
      <c r="AB778" s="120"/>
      <c r="AC778" s="120"/>
      <c r="AD778" s="120"/>
      <c r="AE778" s="120"/>
      <c r="AF778" s="120"/>
    </row>
    <row r="779" ht="13.5" customHeight="1">
      <c r="A779" s="120"/>
      <c r="B779" s="120"/>
      <c r="C779" s="120"/>
      <c r="D779" s="120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  <c r="AA779" s="120"/>
      <c r="AB779" s="120"/>
      <c r="AC779" s="120"/>
      <c r="AD779" s="120"/>
      <c r="AE779" s="120"/>
      <c r="AF779" s="120"/>
    </row>
    <row r="780" ht="13.5" customHeight="1">
      <c r="A780" s="120"/>
      <c r="B780" s="120"/>
      <c r="C780" s="120"/>
      <c r="D780" s="120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  <c r="AA780" s="120"/>
      <c r="AB780" s="120"/>
      <c r="AC780" s="120"/>
      <c r="AD780" s="120"/>
      <c r="AE780" s="120"/>
      <c r="AF780" s="120"/>
    </row>
    <row r="781" ht="13.5" customHeight="1">
      <c r="A781" s="120"/>
      <c r="B781" s="120"/>
      <c r="C781" s="120"/>
      <c r="D781" s="120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  <c r="AA781" s="120"/>
      <c r="AB781" s="120"/>
      <c r="AC781" s="120"/>
      <c r="AD781" s="120"/>
      <c r="AE781" s="120"/>
      <c r="AF781" s="120"/>
    </row>
    <row r="782" ht="13.5" customHeight="1">
      <c r="A782" s="120"/>
      <c r="B782" s="120"/>
      <c r="C782" s="120"/>
      <c r="D782" s="120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  <c r="AA782" s="120"/>
      <c r="AB782" s="120"/>
      <c r="AC782" s="120"/>
      <c r="AD782" s="120"/>
      <c r="AE782" s="120"/>
      <c r="AF782" s="120"/>
    </row>
    <row r="783" ht="13.5" customHeight="1">
      <c r="A783" s="120"/>
      <c r="B783" s="120"/>
      <c r="C783" s="120"/>
      <c r="D783" s="120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  <c r="AA783" s="120"/>
      <c r="AB783" s="120"/>
      <c r="AC783" s="120"/>
      <c r="AD783" s="120"/>
      <c r="AE783" s="120"/>
      <c r="AF783" s="120"/>
    </row>
    <row r="784" ht="13.5" customHeight="1">
      <c r="A784" s="120"/>
      <c r="B784" s="120"/>
      <c r="C784" s="120"/>
      <c r="D784" s="120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  <c r="AA784" s="120"/>
      <c r="AB784" s="120"/>
      <c r="AC784" s="120"/>
      <c r="AD784" s="120"/>
      <c r="AE784" s="120"/>
      <c r="AF784" s="120"/>
    </row>
    <row r="785" ht="13.5" customHeight="1">
      <c r="A785" s="120"/>
      <c r="B785" s="120"/>
      <c r="C785" s="120"/>
      <c r="D785" s="120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  <c r="AA785" s="120"/>
      <c r="AB785" s="120"/>
      <c r="AC785" s="120"/>
      <c r="AD785" s="120"/>
      <c r="AE785" s="120"/>
      <c r="AF785" s="120"/>
    </row>
    <row r="786" ht="13.5" customHeight="1">
      <c r="A786" s="120"/>
      <c r="B786" s="120"/>
      <c r="C786" s="120"/>
      <c r="D786" s="120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  <c r="AA786" s="120"/>
      <c r="AB786" s="120"/>
      <c r="AC786" s="120"/>
      <c r="AD786" s="120"/>
      <c r="AE786" s="120"/>
      <c r="AF786" s="120"/>
    </row>
    <row r="787" ht="13.5" customHeight="1">
      <c r="A787" s="120"/>
      <c r="B787" s="120"/>
      <c r="C787" s="120"/>
      <c r="D787" s="120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  <c r="AA787" s="120"/>
      <c r="AB787" s="120"/>
      <c r="AC787" s="120"/>
      <c r="AD787" s="120"/>
      <c r="AE787" s="120"/>
      <c r="AF787" s="120"/>
    </row>
    <row r="788" ht="13.5" customHeight="1">
      <c r="A788" s="120"/>
      <c r="B788" s="120"/>
      <c r="C788" s="120"/>
      <c r="D788" s="120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  <c r="AA788" s="120"/>
      <c r="AB788" s="120"/>
      <c r="AC788" s="120"/>
      <c r="AD788" s="120"/>
      <c r="AE788" s="120"/>
      <c r="AF788" s="120"/>
    </row>
    <row r="789" ht="13.5" customHeight="1">
      <c r="A789" s="120"/>
      <c r="B789" s="120"/>
      <c r="C789" s="120"/>
      <c r="D789" s="120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  <c r="AA789" s="120"/>
      <c r="AB789" s="120"/>
      <c r="AC789" s="120"/>
      <c r="AD789" s="120"/>
      <c r="AE789" s="120"/>
      <c r="AF789" s="120"/>
    </row>
    <row r="790" ht="13.5" customHeight="1">
      <c r="A790" s="120"/>
      <c r="B790" s="120"/>
      <c r="C790" s="120"/>
      <c r="D790" s="120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  <c r="AA790" s="120"/>
      <c r="AB790" s="120"/>
      <c r="AC790" s="120"/>
      <c r="AD790" s="120"/>
      <c r="AE790" s="120"/>
      <c r="AF790" s="120"/>
    </row>
    <row r="791" ht="13.5" customHeight="1">
      <c r="A791" s="120"/>
      <c r="B791" s="120"/>
      <c r="C791" s="120"/>
      <c r="D791" s="120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  <c r="AA791" s="120"/>
      <c r="AB791" s="120"/>
      <c r="AC791" s="120"/>
      <c r="AD791" s="120"/>
      <c r="AE791" s="120"/>
      <c r="AF791" s="120"/>
    </row>
    <row r="792" ht="13.5" customHeight="1">
      <c r="A792" s="120"/>
      <c r="B792" s="120"/>
      <c r="C792" s="120"/>
      <c r="D792" s="120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  <c r="AA792" s="120"/>
      <c r="AB792" s="120"/>
      <c r="AC792" s="120"/>
      <c r="AD792" s="120"/>
      <c r="AE792" s="120"/>
      <c r="AF792" s="120"/>
    </row>
    <row r="793" ht="13.5" customHeight="1">
      <c r="A793" s="120"/>
      <c r="B793" s="120"/>
      <c r="C793" s="120"/>
      <c r="D793" s="120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  <c r="AA793" s="120"/>
      <c r="AB793" s="120"/>
      <c r="AC793" s="120"/>
      <c r="AD793" s="120"/>
      <c r="AE793" s="120"/>
      <c r="AF793" s="120"/>
    </row>
    <row r="794" ht="13.5" customHeight="1">
      <c r="A794" s="120"/>
      <c r="B794" s="120"/>
      <c r="C794" s="120"/>
      <c r="D794" s="120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  <c r="AA794" s="120"/>
      <c r="AB794" s="120"/>
      <c r="AC794" s="120"/>
      <c r="AD794" s="120"/>
      <c r="AE794" s="120"/>
      <c r="AF794" s="120"/>
    </row>
    <row r="795" ht="13.5" customHeight="1">
      <c r="A795" s="120"/>
      <c r="B795" s="120"/>
      <c r="C795" s="120"/>
      <c r="D795" s="120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  <c r="AA795" s="120"/>
      <c r="AB795" s="120"/>
      <c r="AC795" s="120"/>
      <c r="AD795" s="120"/>
      <c r="AE795" s="120"/>
      <c r="AF795" s="120"/>
    </row>
    <row r="796" ht="13.5" customHeight="1">
      <c r="A796" s="120"/>
      <c r="B796" s="120"/>
      <c r="C796" s="120"/>
      <c r="D796" s="120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  <c r="AA796" s="120"/>
      <c r="AB796" s="120"/>
      <c r="AC796" s="120"/>
      <c r="AD796" s="120"/>
      <c r="AE796" s="120"/>
      <c r="AF796" s="120"/>
    </row>
    <row r="797" ht="13.5" customHeight="1">
      <c r="A797" s="120"/>
      <c r="B797" s="120"/>
      <c r="C797" s="120"/>
      <c r="D797" s="120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  <c r="AA797" s="120"/>
      <c r="AB797" s="120"/>
      <c r="AC797" s="120"/>
      <c r="AD797" s="120"/>
      <c r="AE797" s="120"/>
      <c r="AF797" s="120"/>
    </row>
    <row r="798" ht="13.5" customHeight="1">
      <c r="A798" s="120"/>
      <c r="B798" s="120"/>
      <c r="C798" s="120"/>
      <c r="D798" s="120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  <c r="AA798" s="120"/>
      <c r="AB798" s="120"/>
      <c r="AC798" s="120"/>
      <c r="AD798" s="120"/>
      <c r="AE798" s="120"/>
      <c r="AF798" s="120"/>
    </row>
    <row r="799" ht="13.5" customHeight="1">
      <c r="A799" s="120"/>
      <c r="B799" s="120"/>
      <c r="C799" s="120"/>
      <c r="D799" s="120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  <c r="AA799" s="120"/>
      <c r="AB799" s="120"/>
      <c r="AC799" s="120"/>
      <c r="AD799" s="120"/>
      <c r="AE799" s="120"/>
      <c r="AF799" s="120"/>
    </row>
    <row r="800" ht="13.5" customHeight="1">
      <c r="A800" s="120"/>
      <c r="B800" s="120"/>
      <c r="C800" s="120"/>
      <c r="D800" s="120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  <c r="AA800" s="120"/>
      <c r="AB800" s="120"/>
      <c r="AC800" s="120"/>
      <c r="AD800" s="120"/>
      <c r="AE800" s="120"/>
      <c r="AF800" s="120"/>
    </row>
    <row r="801" ht="13.5" customHeight="1">
      <c r="A801" s="120"/>
      <c r="B801" s="120"/>
      <c r="C801" s="120"/>
      <c r="D801" s="120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  <c r="AA801" s="120"/>
      <c r="AB801" s="120"/>
      <c r="AC801" s="120"/>
      <c r="AD801" s="120"/>
      <c r="AE801" s="120"/>
      <c r="AF801" s="120"/>
    </row>
    <row r="802" ht="13.5" customHeight="1">
      <c r="A802" s="120"/>
      <c r="B802" s="120"/>
      <c r="C802" s="120"/>
      <c r="D802" s="120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  <c r="AA802" s="120"/>
      <c r="AB802" s="120"/>
      <c r="AC802" s="120"/>
      <c r="AD802" s="120"/>
      <c r="AE802" s="120"/>
      <c r="AF802" s="120"/>
    </row>
    <row r="803" ht="13.5" customHeight="1">
      <c r="A803" s="120"/>
      <c r="B803" s="120"/>
      <c r="C803" s="120"/>
      <c r="D803" s="120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  <c r="AA803" s="120"/>
      <c r="AB803" s="120"/>
      <c r="AC803" s="120"/>
      <c r="AD803" s="120"/>
      <c r="AE803" s="120"/>
      <c r="AF803" s="120"/>
    </row>
    <row r="804" ht="13.5" customHeight="1">
      <c r="A804" s="120"/>
      <c r="B804" s="120"/>
      <c r="C804" s="120"/>
      <c r="D804" s="120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  <c r="AA804" s="120"/>
      <c r="AB804" s="120"/>
      <c r="AC804" s="120"/>
      <c r="AD804" s="120"/>
      <c r="AE804" s="120"/>
      <c r="AF804" s="120"/>
    </row>
    <row r="805" ht="13.5" customHeight="1">
      <c r="A805" s="120"/>
      <c r="B805" s="120"/>
      <c r="C805" s="120"/>
      <c r="D805" s="120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  <c r="AA805" s="120"/>
      <c r="AB805" s="120"/>
      <c r="AC805" s="120"/>
      <c r="AD805" s="120"/>
      <c r="AE805" s="120"/>
      <c r="AF805" s="120"/>
    </row>
    <row r="806" ht="13.5" customHeight="1">
      <c r="A806" s="120"/>
      <c r="B806" s="120"/>
      <c r="C806" s="120"/>
      <c r="D806" s="120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  <c r="AA806" s="120"/>
      <c r="AB806" s="120"/>
      <c r="AC806" s="120"/>
      <c r="AD806" s="120"/>
      <c r="AE806" s="120"/>
      <c r="AF806" s="120"/>
    </row>
    <row r="807" ht="13.5" customHeight="1">
      <c r="A807" s="120"/>
      <c r="B807" s="120"/>
      <c r="C807" s="120"/>
      <c r="D807" s="120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  <c r="AA807" s="120"/>
      <c r="AB807" s="120"/>
      <c r="AC807" s="120"/>
      <c r="AD807" s="120"/>
      <c r="AE807" s="120"/>
      <c r="AF807" s="120"/>
    </row>
    <row r="808" ht="13.5" customHeight="1">
      <c r="A808" s="120"/>
      <c r="B808" s="120"/>
      <c r="C808" s="120"/>
      <c r="D808" s="120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  <c r="AA808" s="120"/>
      <c r="AB808" s="120"/>
      <c r="AC808" s="120"/>
      <c r="AD808" s="120"/>
      <c r="AE808" s="120"/>
      <c r="AF808" s="120"/>
    </row>
    <row r="809" ht="13.5" customHeight="1">
      <c r="A809" s="120"/>
      <c r="B809" s="120"/>
      <c r="C809" s="120"/>
      <c r="D809" s="120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  <c r="AA809" s="120"/>
      <c r="AB809" s="120"/>
      <c r="AC809" s="120"/>
      <c r="AD809" s="120"/>
      <c r="AE809" s="120"/>
      <c r="AF809" s="120"/>
    </row>
    <row r="810" ht="13.5" customHeight="1">
      <c r="A810" s="120"/>
      <c r="B810" s="120"/>
      <c r="C810" s="120"/>
      <c r="D810" s="120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  <c r="AA810" s="120"/>
      <c r="AB810" s="120"/>
      <c r="AC810" s="120"/>
      <c r="AD810" s="120"/>
      <c r="AE810" s="120"/>
      <c r="AF810" s="120"/>
    </row>
    <row r="811" ht="13.5" customHeight="1">
      <c r="A811" s="120"/>
      <c r="B811" s="120"/>
      <c r="C811" s="120"/>
      <c r="D811" s="120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  <c r="AA811" s="120"/>
      <c r="AB811" s="120"/>
      <c r="AC811" s="120"/>
      <c r="AD811" s="120"/>
      <c r="AE811" s="120"/>
      <c r="AF811" s="120"/>
    </row>
    <row r="812" ht="13.5" customHeight="1">
      <c r="A812" s="120"/>
      <c r="B812" s="120"/>
      <c r="C812" s="120"/>
      <c r="D812" s="120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  <c r="AA812" s="120"/>
      <c r="AB812" s="120"/>
      <c r="AC812" s="120"/>
      <c r="AD812" s="120"/>
      <c r="AE812" s="120"/>
      <c r="AF812" s="120"/>
    </row>
    <row r="813" ht="13.5" customHeight="1">
      <c r="A813" s="120"/>
      <c r="B813" s="120"/>
      <c r="C813" s="120"/>
      <c r="D813" s="120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  <c r="AA813" s="120"/>
      <c r="AB813" s="120"/>
      <c r="AC813" s="120"/>
      <c r="AD813" s="120"/>
      <c r="AE813" s="120"/>
      <c r="AF813" s="120"/>
    </row>
    <row r="814" ht="13.5" customHeight="1">
      <c r="A814" s="120"/>
      <c r="B814" s="120"/>
      <c r="C814" s="120"/>
      <c r="D814" s="120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  <c r="AA814" s="120"/>
      <c r="AB814" s="120"/>
      <c r="AC814" s="120"/>
      <c r="AD814" s="120"/>
      <c r="AE814" s="120"/>
      <c r="AF814" s="120"/>
    </row>
    <row r="815" ht="13.5" customHeight="1">
      <c r="A815" s="120"/>
      <c r="B815" s="120"/>
      <c r="C815" s="120"/>
      <c r="D815" s="120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  <c r="AA815" s="120"/>
      <c r="AB815" s="120"/>
      <c r="AC815" s="120"/>
      <c r="AD815" s="120"/>
      <c r="AE815" s="120"/>
      <c r="AF815" s="120"/>
    </row>
    <row r="816" ht="13.5" customHeight="1">
      <c r="A816" s="120"/>
      <c r="B816" s="120"/>
      <c r="C816" s="120"/>
      <c r="D816" s="120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  <c r="AA816" s="120"/>
      <c r="AB816" s="120"/>
      <c r="AC816" s="120"/>
      <c r="AD816" s="120"/>
      <c r="AE816" s="120"/>
      <c r="AF816" s="120"/>
    </row>
    <row r="817" ht="13.5" customHeight="1">
      <c r="A817" s="120"/>
      <c r="B817" s="120"/>
      <c r="C817" s="120"/>
      <c r="D817" s="120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  <c r="AA817" s="120"/>
      <c r="AB817" s="120"/>
      <c r="AC817" s="120"/>
      <c r="AD817" s="120"/>
      <c r="AE817" s="120"/>
      <c r="AF817" s="120"/>
    </row>
    <row r="818" ht="13.5" customHeight="1">
      <c r="A818" s="120"/>
      <c r="B818" s="120"/>
      <c r="C818" s="120"/>
      <c r="D818" s="120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  <c r="AA818" s="120"/>
      <c r="AB818" s="120"/>
      <c r="AC818" s="120"/>
      <c r="AD818" s="120"/>
      <c r="AE818" s="120"/>
      <c r="AF818" s="120"/>
    </row>
    <row r="819" ht="13.5" customHeight="1">
      <c r="A819" s="120"/>
      <c r="B819" s="120"/>
      <c r="C819" s="120"/>
      <c r="D819" s="120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  <c r="AA819" s="120"/>
      <c r="AB819" s="120"/>
      <c r="AC819" s="120"/>
      <c r="AD819" s="120"/>
      <c r="AE819" s="120"/>
      <c r="AF819" s="120"/>
    </row>
    <row r="820" ht="13.5" customHeight="1">
      <c r="A820" s="120"/>
      <c r="B820" s="120"/>
      <c r="C820" s="120"/>
      <c r="D820" s="120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  <c r="AA820" s="120"/>
      <c r="AB820" s="120"/>
      <c r="AC820" s="120"/>
      <c r="AD820" s="120"/>
      <c r="AE820" s="120"/>
      <c r="AF820" s="120"/>
    </row>
    <row r="821" ht="13.5" customHeight="1">
      <c r="A821" s="120"/>
      <c r="B821" s="120"/>
      <c r="C821" s="120"/>
      <c r="D821" s="120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  <c r="AA821" s="120"/>
      <c r="AB821" s="120"/>
      <c r="AC821" s="120"/>
      <c r="AD821" s="120"/>
      <c r="AE821" s="120"/>
      <c r="AF821" s="120"/>
    </row>
    <row r="822" ht="13.5" customHeight="1">
      <c r="A822" s="120"/>
      <c r="B822" s="120"/>
      <c r="C822" s="120"/>
      <c r="D822" s="120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  <c r="AA822" s="120"/>
      <c r="AB822" s="120"/>
      <c r="AC822" s="120"/>
      <c r="AD822" s="120"/>
      <c r="AE822" s="120"/>
      <c r="AF822" s="120"/>
    </row>
    <row r="823" ht="13.5" customHeight="1">
      <c r="A823" s="120"/>
      <c r="B823" s="120"/>
      <c r="C823" s="120"/>
      <c r="D823" s="120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  <c r="AA823" s="120"/>
      <c r="AB823" s="120"/>
      <c r="AC823" s="120"/>
      <c r="AD823" s="120"/>
      <c r="AE823" s="120"/>
      <c r="AF823" s="120"/>
    </row>
    <row r="824" ht="13.5" customHeight="1">
      <c r="A824" s="120"/>
      <c r="B824" s="120"/>
      <c r="C824" s="120"/>
      <c r="D824" s="120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  <c r="AA824" s="120"/>
      <c r="AB824" s="120"/>
      <c r="AC824" s="120"/>
      <c r="AD824" s="120"/>
      <c r="AE824" s="120"/>
      <c r="AF824" s="120"/>
    </row>
    <row r="825" ht="13.5" customHeight="1">
      <c r="A825" s="120"/>
      <c r="B825" s="120"/>
      <c r="C825" s="120"/>
      <c r="D825" s="120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  <c r="AA825" s="120"/>
      <c r="AB825" s="120"/>
      <c r="AC825" s="120"/>
      <c r="AD825" s="120"/>
      <c r="AE825" s="120"/>
      <c r="AF825" s="120"/>
    </row>
    <row r="826" ht="13.5" customHeight="1">
      <c r="A826" s="120"/>
      <c r="B826" s="120"/>
      <c r="C826" s="120"/>
      <c r="D826" s="120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  <c r="AA826" s="120"/>
      <c r="AB826" s="120"/>
      <c r="AC826" s="120"/>
      <c r="AD826" s="120"/>
      <c r="AE826" s="120"/>
      <c r="AF826" s="120"/>
    </row>
    <row r="827" ht="13.5" customHeight="1">
      <c r="A827" s="120"/>
      <c r="B827" s="120"/>
      <c r="C827" s="120"/>
      <c r="D827" s="120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  <c r="AA827" s="120"/>
      <c r="AB827" s="120"/>
      <c r="AC827" s="120"/>
      <c r="AD827" s="120"/>
      <c r="AE827" s="120"/>
      <c r="AF827" s="120"/>
    </row>
    <row r="828" ht="13.5" customHeight="1">
      <c r="A828" s="120"/>
      <c r="B828" s="120"/>
      <c r="C828" s="120"/>
      <c r="D828" s="120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  <c r="AA828" s="120"/>
      <c r="AB828" s="120"/>
      <c r="AC828" s="120"/>
      <c r="AD828" s="120"/>
      <c r="AE828" s="120"/>
      <c r="AF828" s="120"/>
    </row>
    <row r="829" ht="13.5" customHeight="1">
      <c r="A829" s="120"/>
      <c r="B829" s="120"/>
      <c r="C829" s="120"/>
      <c r="D829" s="120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  <c r="AA829" s="120"/>
      <c r="AB829" s="120"/>
      <c r="AC829" s="120"/>
      <c r="AD829" s="120"/>
      <c r="AE829" s="120"/>
      <c r="AF829" s="120"/>
    </row>
    <row r="830" ht="13.5" customHeight="1">
      <c r="A830" s="120"/>
      <c r="B830" s="120"/>
      <c r="C830" s="120"/>
      <c r="D830" s="120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  <c r="AA830" s="120"/>
      <c r="AB830" s="120"/>
      <c r="AC830" s="120"/>
      <c r="AD830" s="120"/>
      <c r="AE830" s="120"/>
      <c r="AF830" s="120"/>
    </row>
    <row r="831" ht="13.5" customHeight="1">
      <c r="A831" s="120"/>
      <c r="B831" s="120"/>
      <c r="C831" s="120"/>
      <c r="D831" s="120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  <c r="AA831" s="120"/>
      <c r="AB831" s="120"/>
      <c r="AC831" s="120"/>
      <c r="AD831" s="120"/>
      <c r="AE831" s="120"/>
      <c r="AF831" s="120"/>
    </row>
    <row r="832" ht="13.5" customHeight="1">
      <c r="A832" s="120"/>
      <c r="B832" s="120"/>
      <c r="C832" s="120"/>
      <c r="D832" s="120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  <c r="AA832" s="120"/>
      <c r="AB832" s="120"/>
      <c r="AC832" s="120"/>
      <c r="AD832" s="120"/>
      <c r="AE832" s="120"/>
      <c r="AF832" s="120"/>
    </row>
    <row r="833" ht="13.5" customHeight="1">
      <c r="A833" s="120"/>
      <c r="B833" s="120"/>
      <c r="C833" s="120"/>
      <c r="D833" s="120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  <c r="AA833" s="120"/>
      <c r="AB833" s="120"/>
      <c r="AC833" s="120"/>
      <c r="AD833" s="120"/>
      <c r="AE833" s="120"/>
      <c r="AF833" s="120"/>
    </row>
    <row r="834" ht="13.5" customHeight="1">
      <c r="A834" s="120"/>
      <c r="B834" s="120"/>
      <c r="C834" s="120"/>
      <c r="D834" s="120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  <c r="AA834" s="120"/>
      <c r="AB834" s="120"/>
      <c r="AC834" s="120"/>
      <c r="AD834" s="120"/>
      <c r="AE834" s="120"/>
      <c r="AF834" s="120"/>
    </row>
    <row r="835" ht="13.5" customHeight="1">
      <c r="A835" s="120"/>
      <c r="B835" s="120"/>
      <c r="C835" s="120"/>
      <c r="D835" s="120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  <c r="AA835" s="120"/>
      <c r="AB835" s="120"/>
      <c r="AC835" s="120"/>
      <c r="AD835" s="120"/>
      <c r="AE835" s="120"/>
      <c r="AF835" s="120"/>
    </row>
    <row r="836" ht="13.5" customHeight="1">
      <c r="A836" s="120"/>
      <c r="B836" s="120"/>
      <c r="C836" s="120"/>
      <c r="D836" s="120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  <c r="AA836" s="120"/>
      <c r="AB836" s="120"/>
      <c r="AC836" s="120"/>
      <c r="AD836" s="120"/>
      <c r="AE836" s="120"/>
      <c r="AF836" s="120"/>
    </row>
    <row r="837" ht="13.5" customHeight="1">
      <c r="A837" s="120"/>
      <c r="B837" s="120"/>
      <c r="C837" s="120"/>
      <c r="D837" s="120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  <c r="AA837" s="120"/>
      <c r="AB837" s="120"/>
      <c r="AC837" s="120"/>
      <c r="AD837" s="120"/>
      <c r="AE837" s="120"/>
      <c r="AF837" s="120"/>
    </row>
    <row r="838" ht="13.5" customHeight="1">
      <c r="A838" s="120"/>
      <c r="B838" s="120"/>
      <c r="C838" s="120"/>
      <c r="D838" s="120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  <c r="AA838" s="120"/>
      <c r="AB838" s="120"/>
      <c r="AC838" s="120"/>
      <c r="AD838" s="120"/>
      <c r="AE838" s="120"/>
      <c r="AF838" s="120"/>
    </row>
    <row r="839" ht="13.5" customHeight="1">
      <c r="A839" s="120"/>
      <c r="B839" s="120"/>
      <c r="C839" s="120"/>
      <c r="D839" s="120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  <c r="AA839" s="120"/>
      <c r="AB839" s="120"/>
      <c r="AC839" s="120"/>
      <c r="AD839" s="120"/>
      <c r="AE839" s="120"/>
      <c r="AF839" s="120"/>
    </row>
    <row r="840" ht="13.5" customHeight="1">
      <c r="A840" s="120"/>
      <c r="B840" s="120"/>
      <c r="C840" s="120"/>
      <c r="D840" s="120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  <c r="AA840" s="120"/>
      <c r="AB840" s="120"/>
      <c r="AC840" s="120"/>
      <c r="AD840" s="120"/>
      <c r="AE840" s="120"/>
      <c r="AF840" s="120"/>
    </row>
    <row r="841" ht="13.5" customHeight="1">
      <c r="A841" s="120"/>
      <c r="B841" s="120"/>
      <c r="C841" s="120"/>
      <c r="D841" s="120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  <c r="AA841" s="120"/>
      <c r="AB841" s="120"/>
      <c r="AC841" s="120"/>
      <c r="AD841" s="120"/>
      <c r="AE841" s="120"/>
      <c r="AF841" s="120"/>
    </row>
    <row r="842" ht="13.5" customHeight="1">
      <c r="A842" s="120"/>
      <c r="B842" s="120"/>
      <c r="C842" s="120"/>
      <c r="D842" s="120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  <c r="AA842" s="120"/>
      <c r="AB842" s="120"/>
      <c r="AC842" s="120"/>
      <c r="AD842" s="120"/>
      <c r="AE842" s="120"/>
      <c r="AF842" s="120"/>
    </row>
    <row r="843" ht="13.5" customHeight="1">
      <c r="A843" s="120"/>
      <c r="B843" s="120"/>
      <c r="C843" s="120"/>
      <c r="D843" s="120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  <c r="AA843" s="120"/>
      <c r="AB843" s="120"/>
      <c r="AC843" s="120"/>
      <c r="AD843" s="120"/>
      <c r="AE843" s="120"/>
      <c r="AF843" s="120"/>
    </row>
    <row r="844" ht="13.5" customHeight="1">
      <c r="A844" s="120"/>
      <c r="B844" s="120"/>
      <c r="C844" s="120"/>
      <c r="D844" s="120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  <c r="AA844" s="120"/>
      <c r="AB844" s="120"/>
      <c r="AC844" s="120"/>
      <c r="AD844" s="120"/>
      <c r="AE844" s="120"/>
      <c r="AF844" s="120"/>
    </row>
    <row r="845" ht="13.5" customHeight="1">
      <c r="A845" s="120"/>
      <c r="B845" s="120"/>
      <c r="C845" s="120"/>
      <c r="D845" s="120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  <c r="AA845" s="120"/>
      <c r="AB845" s="120"/>
      <c r="AC845" s="120"/>
      <c r="AD845" s="120"/>
      <c r="AE845" s="120"/>
      <c r="AF845" s="120"/>
    </row>
    <row r="846" ht="13.5" customHeight="1">
      <c r="A846" s="120"/>
      <c r="B846" s="120"/>
      <c r="C846" s="120"/>
      <c r="D846" s="120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  <c r="AA846" s="120"/>
      <c r="AB846" s="120"/>
      <c r="AC846" s="120"/>
      <c r="AD846" s="120"/>
      <c r="AE846" s="120"/>
      <c r="AF846" s="120"/>
    </row>
    <row r="847" ht="13.5" customHeight="1">
      <c r="A847" s="120"/>
      <c r="B847" s="120"/>
      <c r="C847" s="120"/>
      <c r="D847" s="120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  <c r="AA847" s="120"/>
      <c r="AB847" s="120"/>
      <c r="AC847" s="120"/>
      <c r="AD847" s="120"/>
      <c r="AE847" s="120"/>
      <c r="AF847" s="120"/>
    </row>
    <row r="848" ht="13.5" customHeight="1">
      <c r="A848" s="120"/>
      <c r="B848" s="120"/>
      <c r="C848" s="120"/>
      <c r="D848" s="120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  <c r="AA848" s="120"/>
      <c r="AB848" s="120"/>
      <c r="AC848" s="120"/>
      <c r="AD848" s="120"/>
      <c r="AE848" s="120"/>
      <c r="AF848" s="120"/>
    </row>
    <row r="849" ht="13.5" customHeight="1">
      <c r="A849" s="120"/>
      <c r="B849" s="120"/>
      <c r="C849" s="120"/>
      <c r="D849" s="120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  <c r="AA849" s="120"/>
      <c r="AB849" s="120"/>
      <c r="AC849" s="120"/>
      <c r="AD849" s="120"/>
      <c r="AE849" s="120"/>
      <c r="AF849" s="120"/>
    </row>
    <row r="850" ht="13.5" customHeight="1">
      <c r="A850" s="120"/>
      <c r="B850" s="120"/>
      <c r="C850" s="120"/>
      <c r="D850" s="120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  <c r="AA850" s="120"/>
      <c r="AB850" s="120"/>
      <c r="AC850" s="120"/>
      <c r="AD850" s="120"/>
      <c r="AE850" s="120"/>
      <c r="AF850" s="120"/>
    </row>
    <row r="851" ht="13.5" customHeight="1">
      <c r="A851" s="120"/>
      <c r="B851" s="120"/>
      <c r="C851" s="120"/>
      <c r="D851" s="120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  <c r="AA851" s="120"/>
      <c r="AB851" s="120"/>
      <c r="AC851" s="120"/>
      <c r="AD851" s="120"/>
      <c r="AE851" s="120"/>
      <c r="AF851" s="120"/>
    </row>
    <row r="852" ht="13.5" customHeight="1">
      <c r="A852" s="120"/>
      <c r="B852" s="120"/>
      <c r="C852" s="120"/>
      <c r="D852" s="120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  <c r="AA852" s="120"/>
      <c r="AB852" s="120"/>
      <c r="AC852" s="120"/>
      <c r="AD852" s="120"/>
      <c r="AE852" s="120"/>
      <c r="AF852" s="120"/>
    </row>
    <row r="853" ht="13.5" customHeight="1">
      <c r="A853" s="120"/>
      <c r="B853" s="120"/>
      <c r="C853" s="120"/>
      <c r="D853" s="120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  <c r="AA853" s="120"/>
      <c r="AB853" s="120"/>
      <c r="AC853" s="120"/>
      <c r="AD853" s="120"/>
      <c r="AE853" s="120"/>
      <c r="AF853" s="120"/>
    </row>
    <row r="854" ht="13.5" customHeight="1">
      <c r="A854" s="120"/>
      <c r="B854" s="120"/>
      <c r="C854" s="120"/>
      <c r="D854" s="120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  <c r="AA854" s="120"/>
      <c r="AB854" s="120"/>
      <c r="AC854" s="120"/>
      <c r="AD854" s="120"/>
      <c r="AE854" s="120"/>
      <c r="AF854" s="120"/>
    </row>
    <row r="855" ht="13.5" customHeight="1">
      <c r="A855" s="120"/>
      <c r="B855" s="120"/>
      <c r="C855" s="120"/>
      <c r="D855" s="120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  <c r="AA855" s="120"/>
      <c r="AB855" s="120"/>
      <c r="AC855" s="120"/>
      <c r="AD855" s="120"/>
      <c r="AE855" s="120"/>
      <c r="AF855" s="120"/>
    </row>
    <row r="856" ht="13.5" customHeight="1">
      <c r="A856" s="120"/>
      <c r="B856" s="120"/>
      <c r="C856" s="120"/>
      <c r="D856" s="120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  <c r="AA856" s="120"/>
      <c r="AB856" s="120"/>
      <c r="AC856" s="120"/>
      <c r="AD856" s="120"/>
      <c r="AE856" s="120"/>
      <c r="AF856" s="120"/>
    </row>
    <row r="857" ht="13.5" customHeight="1">
      <c r="A857" s="120"/>
      <c r="B857" s="120"/>
      <c r="C857" s="120"/>
      <c r="D857" s="120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  <c r="AA857" s="120"/>
      <c r="AB857" s="120"/>
      <c r="AC857" s="120"/>
      <c r="AD857" s="120"/>
      <c r="AE857" s="120"/>
      <c r="AF857" s="120"/>
    </row>
    <row r="858" ht="13.5" customHeight="1">
      <c r="A858" s="120"/>
      <c r="B858" s="120"/>
      <c r="C858" s="120"/>
      <c r="D858" s="120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  <c r="AA858" s="120"/>
      <c r="AB858" s="120"/>
      <c r="AC858" s="120"/>
      <c r="AD858" s="120"/>
      <c r="AE858" s="120"/>
      <c r="AF858" s="120"/>
    </row>
    <row r="859" ht="13.5" customHeight="1">
      <c r="A859" s="120"/>
      <c r="B859" s="120"/>
      <c r="C859" s="120"/>
      <c r="D859" s="120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  <c r="AA859" s="120"/>
      <c r="AB859" s="120"/>
      <c r="AC859" s="120"/>
      <c r="AD859" s="120"/>
      <c r="AE859" s="120"/>
      <c r="AF859" s="120"/>
    </row>
    <row r="860" ht="13.5" customHeight="1">
      <c r="A860" s="120"/>
      <c r="B860" s="120"/>
      <c r="C860" s="120"/>
      <c r="D860" s="120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  <c r="AA860" s="120"/>
      <c r="AB860" s="120"/>
      <c r="AC860" s="120"/>
      <c r="AD860" s="120"/>
      <c r="AE860" s="120"/>
      <c r="AF860" s="120"/>
    </row>
    <row r="861" ht="13.5" customHeight="1">
      <c r="A861" s="120"/>
      <c r="B861" s="120"/>
      <c r="C861" s="120"/>
      <c r="D861" s="120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  <c r="AA861" s="120"/>
      <c r="AB861" s="120"/>
      <c r="AC861" s="120"/>
      <c r="AD861" s="120"/>
      <c r="AE861" s="120"/>
      <c r="AF861" s="120"/>
    </row>
    <row r="862" ht="13.5" customHeight="1">
      <c r="A862" s="120"/>
      <c r="B862" s="120"/>
      <c r="C862" s="120"/>
      <c r="D862" s="120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  <c r="AA862" s="120"/>
      <c r="AB862" s="120"/>
      <c r="AC862" s="120"/>
      <c r="AD862" s="120"/>
      <c r="AE862" s="120"/>
      <c r="AF862" s="120"/>
    </row>
    <row r="863" ht="13.5" customHeight="1">
      <c r="A863" s="120"/>
      <c r="B863" s="120"/>
      <c r="C863" s="120"/>
      <c r="D863" s="120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  <c r="AA863" s="120"/>
      <c r="AB863" s="120"/>
      <c r="AC863" s="120"/>
      <c r="AD863" s="120"/>
      <c r="AE863" s="120"/>
      <c r="AF863" s="120"/>
    </row>
    <row r="864" ht="13.5" customHeight="1">
      <c r="A864" s="120"/>
      <c r="B864" s="120"/>
      <c r="C864" s="120"/>
      <c r="D864" s="120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  <c r="AA864" s="120"/>
      <c r="AB864" s="120"/>
      <c r="AC864" s="120"/>
      <c r="AD864" s="120"/>
      <c r="AE864" s="120"/>
      <c r="AF864" s="120"/>
    </row>
    <row r="865" ht="13.5" customHeight="1">
      <c r="A865" s="120"/>
      <c r="B865" s="120"/>
      <c r="C865" s="120"/>
      <c r="D865" s="120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  <c r="AA865" s="120"/>
      <c r="AB865" s="120"/>
      <c r="AC865" s="120"/>
      <c r="AD865" s="120"/>
      <c r="AE865" s="120"/>
      <c r="AF865" s="120"/>
    </row>
    <row r="866" ht="13.5" customHeight="1">
      <c r="A866" s="120"/>
      <c r="B866" s="120"/>
      <c r="C866" s="120"/>
      <c r="D866" s="120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  <c r="AA866" s="120"/>
      <c r="AB866" s="120"/>
      <c r="AC866" s="120"/>
      <c r="AD866" s="120"/>
      <c r="AE866" s="120"/>
      <c r="AF866" s="120"/>
    </row>
    <row r="867" ht="13.5" customHeight="1">
      <c r="A867" s="120"/>
      <c r="B867" s="120"/>
      <c r="C867" s="120"/>
      <c r="D867" s="120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  <c r="AA867" s="120"/>
      <c r="AB867" s="120"/>
      <c r="AC867" s="120"/>
      <c r="AD867" s="120"/>
      <c r="AE867" s="120"/>
      <c r="AF867" s="120"/>
    </row>
    <row r="868" ht="13.5" customHeight="1">
      <c r="A868" s="120"/>
      <c r="B868" s="120"/>
      <c r="C868" s="120"/>
      <c r="D868" s="120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  <c r="AA868" s="120"/>
      <c r="AB868" s="120"/>
      <c r="AC868" s="120"/>
      <c r="AD868" s="120"/>
      <c r="AE868" s="120"/>
      <c r="AF868" s="120"/>
    </row>
    <row r="869" ht="13.5" customHeight="1">
      <c r="A869" s="120"/>
      <c r="B869" s="120"/>
      <c r="C869" s="120"/>
      <c r="D869" s="120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  <c r="AA869" s="120"/>
      <c r="AB869" s="120"/>
      <c r="AC869" s="120"/>
      <c r="AD869" s="120"/>
      <c r="AE869" s="120"/>
      <c r="AF869" s="120"/>
    </row>
    <row r="870" ht="13.5" customHeight="1">
      <c r="A870" s="120"/>
      <c r="B870" s="120"/>
      <c r="C870" s="120"/>
      <c r="D870" s="120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  <c r="AA870" s="120"/>
      <c r="AB870" s="120"/>
      <c r="AC870" s="120"/>
      <c r="AD870" s="120"/>
      <c r="AE870" s="120"/>
      <c r="AF870" s="120"/>
    </row>
    <row r="871" ht="13.5" customHeight="1">
      <c r="A871" s="120"/>
      <c r="B871" s="120"/>
      <c r="C871" s="120"/>
      <c r="D871" s="120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  <c r="AA871" s="120"/>
      <c r="AB871" s="120"/>
      <c r="AC871" s="120"/>
      <c r="AD871" s="120"/>
      <c r="AE871" s="120"/>
      <c r="AF871" s="120"/>
    </row>
    <row r="872" ht="13.5" customHeight="1">
      <c r="A872" s="120"/>
      <c r="B872" s="120"/>
      <c r="C872" s="120"/>
      <c r="D872" s="120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  <c r="AA872" s="120"/>
      <c r="AB872" s="120"/>
      <c r="AC872" s="120"/>
      <c r="AD872" s="120"/>
      <c r="AE872" s="120"/>
      <c r="AF872" s="120"/>
    </row>
    <row r="873" ht="13.5" customHeight="1">
      <c r="A873" s="120"/>
      <c r="B873" s="120"/>
      <c r="C873" s="120"/>
      <c r="D873" s="120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  <c r="AA873" s="120"/>
      <c r="AB873" s="120"/>
      <c r="AC873" s="120"/>
      <c r="AD873" s="120"/>
      <c r="AE873" s="120"/>
      <c r="AF873" s="120"/>
    </row>
    <row r="874" ht="13.5" customHeight="1">
      <c r="A874" s="120"/>
      <c r="B874" s="120"/>
      <c r="C874" s="120"/>
      <c r="D874" s="120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  <c r="AA874" s="120"/>
      <c r="AB874" s="120"/>
      <c r="AC874" s="120"/>
      <c r="AD874" s="120"/>
      <c r="AE874" s="120"/>
      <c r="AF874" s="120"/>
    </row>
    <row r="875" ht="13.5" customHeight="1">
      <c r="A875" s="120"/>
      <c r="B875" s="120"/>
      <c r="C875" s="120"/>
      <c r="D875" s="120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  <c r="AA875" s="120"/>
      <c r="AB875" s="120"/>
      <c r="AC875" s="120"/>
      <c r="AD875" s="120"/>
      <c r="AE875" s="120"/>
      <c r="AF875" s="120"/>
    </row>
    <row r="876" ht="13.5" customHeight="1">
      <c r="A876" s="120"/>
      <c r="B876" s="120"/>
      <c r="C876" s="120"/>
      <c r="D876" s="120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  <c r="AA876" s="120"/>
      <c r="AB876" s="120"/>
      <c r="AC876" s="120"/>
      <c r="AD876" s="120"/>
      <c r="AE876" s="120"/>
      <c r="AF876" s="120"/>
    </row>
    <row r="877" ht="13.5" customHeight="1">
      <c r="A877" s="120"/>
      <c r="B877" s="120"/>
      <c r="C877" s="120"/>
      <c r="D877" s="120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  <c r="AA877" s="120"/>
      <c r="AB877" s="120"/>
      <c r="AC877" s="120"/>
      <c r="AD877" s="120"/>
      <c r="AE877" s="120"/>
      <c r="AF877" s="120"/>
    </row>
    <row r="878" ht="13.5" customHeight="1">
      <c r="A878" s="120"/>
      <c r="B878" s="120"/>
      <c r="C878" s="120"/>
      <c r="D878" s="120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  <c r="AA878" s="120"/>
      <c r="AB878" s="120"/>
      <c r="AC878" s="120"/>
      <c r="AD878" s="120"/>
      <c r="AE878" s="120"/>
      <c r="AF878" s="120"/>
    </row>
    <row r="879" ht="13.5" customHeight="1">
      <c r="A879" s="120"/>
      <c r="B879" s="120"/>
      <c r="C879" s="120"/>
      <c r="D879" s="120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  <c r="AA879" s="120"/>
      <c r="AB879" s="120"/>
      <c r="AC879" s="120"/>
      <c r="AD879" s="120"/>
      <c r="AE879" s="120"/>
      <c r="AF879" s="120"/>
    </row>
    <row r="880" ht="13.5" customHeight="1">
      <c r="A880" s="120"/>
      <c r="B880" s="120"/>
      <c r="C880" s="120"/>
      <c r="D880" s="120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  <c r="AA880" s="120"/>
      <c r="AB880" s="120"/>
      <c r="AC880" s="120"/>
      <c r="AD880" s="120"/>
      <c r="AE880" s="120"/>
      <c r="AF880" s="120"/>
    </row>
    <row r="881" ht="13.5" customHeight="1">
      <c r="A881" s="120"/>
      <c r="B881" s="120"/>
      <c r="C881" s="120"/>
      <c r="D881" s="120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  <c r="AA881" s="120"/>
      <c r="AB881" s="120"/>
      <c r="AC881" s="120"/>
      <c r="AD881" s="120"/>
      <c r="AE881" s="120"/>
      <c r="AF881" s="120"/>
    </row>
    <row r="882" ht="13.5" customHeight="1">
      <c r="A882" s="120"/>
      <c r="B882" s="120"/>
      <c r="C882" s="120"/>
      <c r="D882" s="120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  <c r="AA882" s="120"/>
      <c r="AB882" s="120"/>
      <c r="AC882" s="120"/>
      <c r="AD882" s="120"/>
      <c r="AE882" s="120"/>
      <c r="AF882" s="120"/>
    </row>
    <row r="883" ht="13.5" customHeight="1">
      <c r="A883" s="120"/>
      <c r="B883" s="120"/>
      <c r="C883" s="120"/>
      <c r="D883" s="120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  <c r="AA883" s="120"/>
      <c r="AB883" s="120"/>
      <c r="AC883" s="120"/>
      <c r="AD883" s="120"/>
      <c r="AE883" s="120"/>
      <c r="AF883" s="120"/>
    </row>
    <row r="884" ht="13.5" customHeight="1">
      <c r="A884" s="120"/>
      <c r="B884" s="120"/>
      <c r="C884" s="120"/>
      <c r="D884" s="120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  <c r="AA884" s="120"/>
      <c r="AB884" s="120"/>
      <c r="AC884" s="120"/>
      <c r="AD884" s="120"/>
      <c r="AE884" s="120"/>
      <c r="AF884" s="120"/>
    </row>
    <row r="885" ht="13.5" customHeight="1">
      <c r="A885" s="120"/>
      <c r="B885" s="120"/>
      <c r="C885" s="120"/>
      <c r="D885" s="120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  <c r="AA885" s="120"/>
      <c r="AB885" s="120"/>
      <c r="AC885" s="120"/>
      <c r="AD885" s="120"/>
      <c r="AE885" s="120"/>
      <c r="AF885" s="120"/>
    </row>
    <row r="886" ht="13.5" customHeight="1">
      <c r="A886" s="120"/>
      <c r="B886" s="120"/>
      <c r="C886" s="120"/>
      <c r="D886" s="120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  <c r="AA886" s="120"/>
      <c r="AB886" s="120"/>
      <c r="AC886" s="120"/>
      <c r="AD886" s="120"/>
      <c r="AE886" s="120"/>
      <c r="AF886" s="120"/>
    </row>
    <row r="887" ht="13.5" customHeight="1">
      <c r="A887" s="120"/>
      <c r="B887" s="120"/>
      <c r="C887" s="120"/>
      <c r="D887" s="120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  <c r="AA887" s="120"/>
      <c r="AB887" s="120"/>
      <c r="AC887" s="120"/>
      <c r="AD887" s="120"/>
      <c r="AE887" s="120"/>
      <c r="AF887" s="120"/>
    </row>
    <row r="888" ht="13.5" customHeight="1">
      <c r="A888" s="120"/>
      <c r="B888" s="120"/>
      <c r="C888" s="120"/>
      <c r="D888" s="120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  <c r="AA888" s="120"/>
      <c r="AB888" s="120"/>
      <c r="AC888" s="120"/>
      <c r="AD888" s="120"/>
      <c r="AE888" s="120"/>
      <c r="AF888" s="120"/>
    </row>
    <row r="889" ht="13.5" customHeight="1">
      <c r="A889" s="120"/>
      <c r="B889" s="120"/>
      <c r="C889" s="120"/>
      <c r="D889" s="120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  <c r="AA889" s="120"/>
      <c r="AB889" s="120"/>
      <c r="AC889" s="120"/>
      <c r="AD889" s="120"/>
      <c r="AE889" s="120"/>
      <c r="AF889" s="120"/>
    </row>
    <row r="890" ht="13.5" customHeight="1">
      <c r="A890" s="120"/>
      <c r="B890" s="120"/>
      <c r="C890" s="120"/>
      <c r="D890" s="120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  <c r="AA890" s="120"/>
      <c r="AB890" s="120"/>
      <c r="AC890" s="120"/>
      <c r="AD890" s="120"/>
      <c r="AE890" s="120"/>
      <c r="AF890" s="120"/>
    </row>
    <row r="891" ht="13.5" customHeight="1">
      <c r="A891" s="120"/>
      <c r="B891" s="120"/>
      <c r="C891" s="120"/>
      <c r="D891" s="120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  <c r="AA891" s="120"/>
      <c r="AB891" s="120"/>
      <c r="AC891" s="120"/>
      <c r="AD891" s="120"/>
      <c r="AE891" s="120"/>
      <c r="AF891" s="120"/>
    </row>
    <row r="892" ht="13.5" customHeight="1">
      <c r="A892" s="120"/>
      <c r="B892" s="120"/>
      <c r="C892" s="120"/>
      <c r="D892" s="120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  <c r="AA892" s="120"/>
      <c r="AB892" s="120"/>
      <c r="AC892" s="120"/>
      <c r="AD892" s="120"/>
      <c r="AE892" s="120"/>
      <c r="AF892" s="120"/>
    </row>
    <row r="893" ht="13.5" customHeight="1">
      <c r="A893" s="120"/>
      <c r="B893" s="120"/>
      <c r="C893" s="120"/>
      <c r="D893" s="120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  <c r="AA893" s="120"/>
      <c r="AB893" s="120"/>
      <c r="AC893" s="120"/>
      <c r="AD893" s="120"/>
      <c r="AE893" s="120"/>
      <c r="AF893" s="120"/>
    </row>
    <row r="894" ht="13.5" customHeight="1">
      <c r="A894" s="120"/>
      <c r="B894" s="120"/>
      <c r="C894" s="120"/>
      <c r="D894" s="120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  <c r="AA894" s="120"/>
      <c r="AB894" s="120"/>
      <c r="AC894" s="120"/>
      <c r="AD894" s="120"/>
      <c r="AE894" s="120"/>
      <c r="AF894" s="120"/>
    </row>
    <row r="895" ht="13.5" customHeight="1">
      <c r="A895" s="120"/>
      <c r="B895" s="120"/>
      <c r="C895" s="120"/>
      <c r="D895" s="120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  <c r="AA895" s="120"/>
      <c r="AB895" s="120"/>
      <c r="AC895" s="120"/>
      <c r="AD895" s="120"/>
      <c r="AE895" s="120"/>
      <c r="AF895" s="120"/>
    </row>
    <row r="896" ht="13.5" customHeight="1">
      <c r="A896" s="120"/>
      <c r="B896" s="120"/>
      <c r="C896" s="120"/>
      <c r="D896" s="120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  <c r="AA896" s="120"/>
      <c r="AB896" s="120"/>
      <c r="AC896" s="120"/>
      <c r="AD896" s="120"/>
      <c r="AE896" s="120"/>
      <c r="AF896" s="120"/>
    </row>
    <row r="897" ht="13.5" customHeight="1">
      <c r="A897" s="120"/>
      <c r="B897" s="120"/>
      <c r="C897" s="120"/>
      <c r="D897" s="120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  <c r="AA897" s="120"/>
      <c r="AB897" s="120"/>
      <c r="AC897" s="120"/>
      <c r="AD897" s="120"/>
      <c r="AE897" s="120"/>
      <c r="AF897" s="120"/>
    </row>
    <row r="898" ht="13.5" customHeight="1">
      <c r="A898" s="120"/>
      <c r="B898" s="120"/>
      <c r="C898" s="120"/>
      <c r="D898" s="120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  <c r="AA898" s="120"/>
      <c r="AB898" s="120"/>
      <c r="AC898" s="120"/>
      <c r="AD898" s="120"/>
      <c r="AE898" s="120"/>
      <c r="AF898" s="120"/>
    </row>
    <row r="899" ht="13.5" customHeight="1">
      <c r="A899" s="120"/>
      <c r="B899" s="120"/>
      <c r="C899" s="120"/>
      <c r="D899" s="120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  <c r="AA899" s="120"/>
      <c r="AB899" s="120"/>
      <c r="AC899" s="120"/>
      <c r="AD899" s="120"/>
      <c r="AE899" s="120"/>
      <c r="AF899" s="120"/>
    </row>
    <row r="900" ht="13.5" customHeight="1">
      <c r="A900" s="120"/>
      <c r="B900" s="120"/>
      <c r="C900" s="120"/>
      <c r="D900" s="120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  <c r="AA900" s="120"/>
      <c r="AB900" s="120"/>
      <c r="AC900" s="120"/>
      <c r="AD900" s="120"/>
      <c r="AE900" s="120"/>
      <c r="AF900" s="120"/>
    </row>
    <row r="901" ht="13.5" customHeight="1">
      <c r="A901" s="120"/>
      <c r="B901" s="120"/>
      <c r="C901" s="120"/>
      <c r="D901" s="120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  <c r="AA901" s="120"/>
      <c r="AB901" s="120"/>
      <c r="AC901" s="120"/>
      <c r="AD901" s="120"/>
      <c r="AE901" s="120"/>
      <c r="AF901" s="120"/>
    </row>
    <row r="902" ht="13.5" customHeight="1">
      <c r="A902" s="120"/>
      <c r="B902" s="120"/>
      <c r="C902" s="120"/>
      <c r="D902" s="120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  <c r="AA902" s="120"/>
      <c r="AB902" s="120"/>
      <c r="AC902" s="120"/>
      <c r="AD902" s="120"/>
      <c r="AE902" s="120"/>
      <c r="AF902" s="120"/>
    </row>
    <row r="903" ht="13.5" customHeight="1">
      <c r="A903" s="120"/>
      <c r="B903" s="120"/>
      <c r="C903" s="120"/>
      <c r="D903" s="120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  <c r="AA903" s="120"/>
      <c r="AB903" s="120"/>
      <c r="AC903" s="120"/>
      <c r="AD903" s="120"/>
      <c r="AE903" s="120"/>
      <c r="AF903" s="120"/>
    </row>
    <row r="904" ht="13.5" customHeight="1">
      <c r="A904" s="120"/>
      <c r="B904" s="120"/>
      <c r="C904" s="120"/>
      <c r="D904" s="120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  <c r="AA904" s="120"/>
      <c r="AB904" s="120"/>
      <c r="AC904" s="120"/>
      <c r="AD904" s="120"/>
      <c r="AE904" s="120"/>
      <c r="AF904" s="120"/>
    </row>
    <row r="905" ht="13.5" customHeight="1">
      <c r="A905" s="120"/>
      <c r="B905" s="120"/>
      <c r="C905" s="120"/>
      <c r="D905" s="120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  <c r="AA905" s="120"/>
      <c r="AB905" s="120"/>
      <c r="AC905" s="120"/>
      <c r="AD905" s="120"/>
      <c r="AE905" s="120"/>
      <c r="AF905" s="120"/>
    </row>
    <row r="906" ht="13.5" customHeight="1">
      <c r="A906" s="120"/>
      <c r="B906" s="120"/>
      <c r="C906" s="120"/>
      <c r="D906" s="120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  <c r="AA906" s="120"/>
      <c r="AB906" s="120"/>
      <c r="AC906" s="120"/>
      <c r="AD906" s="120"/>
      <c r="AE906" s="120"/>
      <c r="AF906" s="120"/>
    </row>
    <row r="907" ht="13.5" customHeight="1">
      <c r="A907" s="120"/>
      <c r="B907" s="120"/>
      <c r="C907" s="120"/>
      <c r="D907" s="120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  <c r="AA907" s="120"/>
      <c r="AB907" s="120"/>
      <c r="AC907" s="120"/>
      <c r="AD907" s="120"/>
      <c r="AE907" s="120"/>
      <c r="AF907" s="120"/>
    </row>
    <row r="908" ht="13.5" customHeight="1">
      <c r="A908" s="120"/>
      <c r="B908" s="120"/>
      <c r="C908" s="120"/>
      <c r="D908" s="120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  <c r="AA908" s="120"/>
      <c r="AB908" s="120"/>
      <c r="AC908" s="120"/>
      <c r="AD908" s="120"/>
      <c r="AE908" s="120"/>
      <c r="AF908" s="120"/>
    </row>
    <row r="909" ht="13.5" customHeight="1">
      <c r="A909" s="120"/>
      <c r="B909" s="120"/>
      <c r="C909" s="120"/>
      <c r="D909" s="120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  <c r="AA909" s="120"/>
      <c r="AB909" s="120"/>
      <c r="AC909" s="120"/>
      <c r="AD909" s="120"/>
      <c r="AE909" s="120"/>
      <c r="AF909" s="120"/>
    </row>
    <row r="910" ht="13.5" customHeight="1">
      <c r="A910" s="120"/>
      <c r="B910" s="120"/>
      <c r="C910" s="120"/>
      <c r="D910" s="120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  <c r="AA910" s="120"/>
      <c r="AB910" s="120"/>
      <c r="AC910" s="120"/>
      <c r="AD910" s="120"/>
      <c r="AE910" s="120"/>
      <c r="AF910" s="120"/>
    </row>
    <row r="911" ht="13.5" customHeight="1">
      <c r="A911" s="120"/>
      <c r="B911" s="120"/>
      <c r="C911" s="120"/>
      <c r="D911" s="120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  <c r="AA911" s="120"/>
      <c r="AB911" s="120"/>
      <c r="AC911" s="120"/>
      <c r="AD911" s="120"/>
      <c r="AE911" s="120"/>
      <c r="AF911" s="120"/>
    </row>
    <row r="912" ht="13.5" customHeight="1">
      <c r="A912" s="120"/>
      <c r="B912" s="120"/>
      <c r="C912" s="120"/>
      <c r="D912" s="120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  <c r="AA912" s="120"/>
      <c r="AB912" s="120"/>
      <c r="AC912" s="120"/>
      <c r="AD912" s="120"/>
      <c r="AE912" s="120"/>
      <c r="AF912" s="120"/>
    </row>
    <row r="913" ht="13.5" customHeight="1">
      <c r="A913" s="120"/>
      <c r="B913" s="120"/>
      <c r="C913" s="120"/>
      <c r="D913" s="120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  <c r="AA913" s="120"/>
      <c r="AB913" s="120"/>
      <c r="AC913" s="120"/>
      <c r="AD913" s="120"/>
      <c r="AE913" s="120"/>
      <c r="AF913" s="120"/>
    </row>
    <row r="914" ht="13.5" customHeight="1">
      <c r="A914" s="120"/>
      <c r="B914" s="120"/>
      <c r="C914" s="120"/>
      <c r="D914" s="120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  <c r="AA914" s="120"/>
      <c r="AB914" s="120"/>
      <c r="AC914" s="120"/>
      <c r="AD914" s="120"/>
      <c r="AE914" s="120"/>
      <c r="AF914" s="120"/>
    </row>
    <row r="915" ht="13.5" customHeight="1">
      <c r="A915" s="120"/>
      <c r="B915" s="120"/>
      <c r="C915" s="120"/>
      <c r="D915" s="120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  <c r="AA915" s="120"/>
      <c r="AB915" s="120"/>
      <c r="AC915" s="120"/>
      <c r="AD915" s="120"/>
      <c r="AE915" s="120"/>
      <c r="AF915" s="120"/>
    </row>
    <row r="916" ht="13.5" customHeight="1">
      <c r="A916" s="120"/>
      <c r="B916" s="120"/>
      <c r="C916" s="120"/>
      <c r="D916" s="120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  <c r="AA916" s="120"/>
      <c r="AB916" s="120"/>
      <c r="AC916" s="120"/>
      <c r="AD916" s="120"/>
      <c r="AE916" s="120"/>
      <c r="AF916" s="120"/>
    </row>
    <row r="917" ht="13.5" customHeight="1">
      <c r="A917" s="120"/>
      <c r="B917" s="120"/>
      <c r="C917" s="120"/>
      <c r="D917" s="120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  <c r="AA917" s="120"/>
      <c r="AB917" s="120"/>
      <c r="AC917" s="120"/>
      <c r="AD917" s="120"/>
      <c r="AE917" s="120"/>
      <c r="AF917" s="120"/>
    </row>
    <row r="918" ht="13.5" customHeight="1">
      <c r="A918" s="120"/>
      <c r="B918" s="120"/>
      <c r="C918" s="120"/>
      <c r="D918" s="120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  <c r="AA918" s="120"/>
      <c r="AB918" s="120"/>
      <c r="AC918" s="120"/>
      <c r="AD918" s="120"/>
      <c r="AE918" s="120"/>
      <c r="AF918" s="120"/>
    </row>
    <row r="919" ht="13.5" customHeight="1">
      <c r="A919" s="120"/>
      <c r="B919" s="120"/>
      <c r="C919" s="120"/>
      <c r="D919" s="120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  <c r="AA919" s="120"/>
      <c r="AB919" s="120"/>
      <c r="AC919" s="120"/>
      <c r="AD919" s="120"/>
      <c r="AE919" s="120"/>
      <c r="AF919" s="120"/>
    </row>
    <row r="920" ht="13.5" customHeight="1">
      <c r="A920" s="120"/>
      <c r="B920" s="120"/>
      <c r="C920" s="120"/>
      <c r="D920" s="120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  <c r="AA920" s="120"/>
      <c r="AB920" s="120"/>
      <c r="AC920" s="120"/>
      <c r="AD920" s="120"/>
      <c r="AE920" s="120"/>
      <c r="AF920" s="120"/>
    </row>
    <row r="921" ht="13.5" customHeight="1">
      <c r="A921" s="120"/>
      <c r="B921" s="120"/>
      <c r="C921" s="120"/>
      <c r="D921" s="120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  <c r="AA921" s="120"/>
      <c r="AB921" s="120"/>
      <c r="AC921" s="120"/>
      <c r="AD921" s="120"/>
      <c r="AE921" s="120"/>
      <c r="AF921" s="120"/>
    </row>
    <row r="922" ht="13.5" customHeight="1">
      <c r="A922" s="120"/>
      <c r="B922" s="120"/>
      <c r="C922" s="120"/>
      <c r="D922" s="120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  <c r="AA922" s="120"/>
      <c r="AB922" s="120"/>
      <c r="AC922" s="120"/>
      <c r="AD922" s="120"/>
      <c r="AE922" s="120"/>
      <c r="AF922" s="120"/>
    </row>
    <row r="923" ht="13.5" customHeight="1">
      <c r="A923" s="120"/>
      <c r="B923" s="120"/>
      <c r="C923" s="120"/>
      <c r="D923" s="120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  <c r="AA923" s="120"/>
      <c r="AB923" s="120"/>
      <c r="AC923" s="120"/>
      <c r="AD923" s="120"/>
      <c r="AE923" s="120"/>
      <c r="AF923" s="120"/>
    </row>
    <row r="924" ht="13.5" customHeight="1">
      <c r="A924" s="120"/>
      <c r="B924" s="120"/>
      <c r="C924" s="120"/>
      <c r="D924" s="120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  <c r="AA924" s="120"/>
      <c r="AB924" s="120"/>
      <c r="AC924" s="120"/>
      <c r="AD924" s="120"/>
      <c r="AE924" s="120"/>
      <c r="AF924" s="120"/>
    </row>
    <row r="925" ht="13.5" customHeight="1">
      <c r="A925" s="120"/>
      <c r="B925" s="120"/>
      <c r="C925" s="120"/>
      <c r="D925" s="120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  <c r="AA925" s="120"/>
      <c r="AB925" s="120"/>
      <c r="AC925" s="120"/>
      <c r="AD925" s="120"/>
      <c r="AE925" s="120"/>
      <c r="AF925" s="120"/>
    </row>
    <row r="926" ht="13.5" customHeight="1">
      <c r="A926" s="120"/>
      <c r="B926" s="120"/>
      <c r="C926" s="120"/>
      <c r="D926" s="120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  <c r="AA926" s="120"/>
      <c r="AB926" s="120"/>
      <c r="AC926" s="120"/>
      <c r="AD926" s="120"/>
      <c r="AE926" s="120"/>
      <c r="AF926" s="120"/>
    </row>
    <row r="927" ht="13.5" customHeight="1">
      <c r="A927" s="120"/>
      <c r="B927" s="120"/>
      <c r="C927" s="120"/>
      <c r="D927" s="120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  <c r="AA927" s="120"/>
      <c r="AB927" s="120"/>
      <c r="AC927" s="120"/>
      <c r="AD927" s="120"/>
      <c r="AE927" s="120"/>
      <c r="AF927" s="120"/>
    </row>
    <row r="928" ht="13.5" customHeight="1">
      <c r="A928" s="120"/>
      <c r="B928" s="120"/>
      <c r="C928" s="120"/>
      <c r="D928" s="120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  <c r="AA928" s="120"/>
      <c r="AB928" s="120"/>
      <c r="AC928" s="120"/>
      <c r="AD928" s="120"/>
      <c r="AE928" s="120"/>
      <c r="AF928" s="120"/>
    </row>
    <row r="929" ht="13.5" customHeight="1">
      <c r="A929" s="120"/>
      <c r="B929" s="120"/>
      <c r="C929" s="120"/>
      <c r="D929" s="120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  <c r="AA929" s="120"/>
      <c r="AB929" s="120"/>
      <c r="AC929" s="120"/>
      <c r="AD929" s="120"/>
      <c r="AE929" s="120"/>
      <c r="AF929" s="120"/>
    </row>
    <row r="930" ht="13.5" customHeight="1">
      <c r="A930" s="120"/>
      <c r="B930" s="120"/>
      <c r="C930" s="120"/>
      <c r="D930" s="120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  <c r="AA930" s="120"/>
      <c r="AB930" s="120"/>
      <c r="AC930" s="120"/>
      <c r="AD930" s="120"/>
      <c r="AE930" s="120"/>
      <c r="AF930" s="120"/>
    </row>
    <row r="931" ht="13.5" customHeight="1">
      <c r="A931" s="120"/>
      <c r="B931" s="120"/>
      <c r="C931" s="120"/>
      <c r="D931" s="120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  <c r="AA931" s="120"/>
      <c r="AB931" s="120"/>
      <c r="AC931" s="120"/>
      <c r="AD931" s="120"/>
      <c r="AE931" s="120"/>
      <c r="AF931" s="120"/>
    </row>
    <row r="932" ht="13.5" customHeight="1">
      <c r="A932" s="120"/>
      <c r="B932" s="120"/>
      <c r="C932" s="120"/>
      <c r="D932" s="120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  <c r="AA932" s="120"/>
      <c r="AB932" s="120"/>
      <c r="AC932" s="120"/>
      <c r="AD932" s="120"/>
      <c r="AE932" s="120"/>
      <c r="AF932" s="120"/>
    </row>
    <row r="933" ht="13.5" customHeight="1">
      <c r="A933" s="120"/>
      <c r="B933" s="120"/>
      <c r="C933" s="120"/>
      <c r="D933" s="120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  <c r="AA933" s="120"/>
      <c r="AB933" s="120"/>
      <c r="AC933" s="120"/>
      <c r="AD933" s="120"/>
      <c r="AE933" s="120"/>
      <c r="AF933" s="120"/>
    </row>
    <row r="934" ht="13.5" customHeight="1">
      <c r="A934" s="120"/>
      <c r="B934" s="120"/>
      <c r="C934" s="120"/>
      <c r="D934" s="120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  <c r="AA934" s="120"/>
      <c r="AB934" s="120"/>
      <c r="AC934" s="120"/>
      <c r="AD934" s="120"/>
      <c r="AE934" s="120"/>
      <c r="AF934" s="120"/>
    </row>
    <row r="935" ht="13.5" customHeight="1">
      <c r="A935" s="120"/>
      <c r="B935" s="120"/>
      <c r="C935" s="120"/>
      <c r="D935" s="120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  <c r="AA935" s="120"/>
      <c r="AB935" s="120"/>
      <c r="AC935" s="120"/>
      <c r="AD935" s="120"/>
      <c r="AE935" s="120"/>
      <c r="AF935" s="120"/>
    </row>
    <row r="936" ht="13.5" customHeight="1">
      <c r="A936" s="120"/>
      <c r="B936" s="120"/>
      <c r="C936" s="120"/>
      <c r="D936" s="120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  <c r="AA936" s="120"/>
      <c r="AB936" s="120"/>
      <c r="AC936" s="120"/>
      <c r="AD936" s="120"/>
      <c r="AE936" s="120"/>
      <c r="AF936" s="120"/>
    </row>
    <row r="937" ht="13.5" customHeight="1">
      <c r="A937" s="120"/>
      <c r="B937" s="120"/>
      <c r="C937" s="120"/>
      <c r="D937" s="120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  <c r="AA937" s="120"/>
      <c r="AB937" s="120"/>
      <c r="AC937" s="120"/>
      <c r="AD937" s="120"/>
      <c r="AE937" s="120"/>
      <c r="AF937" s="120"/>
    </row>
    <row r="938" ht="13.5" customHeight="1">
      <c r="A938" s="120"/>
      <c r="B938" s="120"/>
      <c r="C938" s="120"/>
      <c r="D938" s="120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  <c r="AA938" s="120"/>
      <c r="AB938" s="120"/>
      <c r="AC938" s="120"/>
      <c r="AD938" s="120"/>
      <c r="AE938" s="120"/>
      <c r="AF938" s="120"/>
    </row>
    <row r="939" ht="13.5" customHeight="1">
      <c r="A939" s="120"/>
      <c r="B939" s="120"/>
      <c r="C939" s="120"/>
      <c r="D939" s="120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  <c r="AA939" s="120"/>
      <c r="AB939" s="120"/>
      <c r="AC939" s="120"/>
      <c r="AD939" s="120"/>
      <c r="AE939" s="120"/>
      <c r="AF939" s="120"/>
    </row>
    <row r="940" ht="13.5" customHeight="1">
      <c r="A940" s="120"/>
      <c r="B940" s="120"/>
      <c r="C940" s="120"/>
      <c r="D940" s="120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  <c r="AA940" s="120"/>
      <c r="AB940" s="120"/>
      <c r="AC940" s="120"/>
      <c r="AD940" s="120"/>
      <c r="AE940" s="120"/>
      <c r="AF940" s="120"/>
    </row>
    <row r="941" ht="13.5" customHeight="1">
      <c r="A941" s="120"/>
      <c r="B941" s="120"/>
      <c r="C941" s="120"/>
      <c r="D941" s="120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  <c r="AA941" s="120"/>
      <c r="AB941" s="120"/>
      <c r="AC941" s="120"/>
      <c r="AD941" s="120"/>
      <c r="AE941" s="120"/>
      <c r="AF941" s="120"/>
    </row>
    <row r="942" ht="13.5" customHeight="1">
      <c r="A942" s="120"/>
      <c r="B942" s="120"/>
      <c r="C942" s="120"/>
      <c r="D942" s="120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  <c r="AA942" s="120"/>
      <c r="AB942" s="120"/>
      <c r="AC942" s="120"/>
      <c r="AD942" s="120"/>
      <c r="AE942" s="120"/>
      <c r="AF942" s="120"/>
    </row>
    <row r="943" ht="13.5" customHeight="1">
      <c r="A943" s="120"/>
      <c r="B943" s="120"/>
      <c r="C943" s="120"/>
      <c r="D943" s="120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  <c r="AA943" s="120"/>
      <c r="AB943" s="120"/>
      <c r="AC943" s="120"/>
      <c r="AD943" s="120"/>
      <c r="AE943" s="120"/>
      <c r="AF943" s="120"/>
    </row>
    <row r="944" ht="13.5" customHeight="1">
      <c r="A944" s="120"/>
      <c r="B944" s="120"/>
      <c r="C944" s="120"/>
      <c r="D944" s="120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  <c r="AA944" s="120"/>
      <c r="AB944" s="120"/>
      <c r="AC944" s="120"/>
      <c r="AD944" s="120"/>
      <c r="AE944" s="120"/>
      <c r="AF944" s="120"/>
    </row>
    <row r="945" ht="13.5" customHeight="1">
      <c r="A945" s="120"/>
      <c r="B945" s="120"/>
      <c r="C945" s="120"/>
      <c r="D945" s="120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  <c r="AA945" s="120"/>
      <c r="AB945" s="120"/>
      <c r="AC945" s="120"/>
      <c r="AD945" s="120"/>
      <c r="AE945" s="120"/>
      <c r="AF945" s="120"/>
    </row>
    <row r="946" ht="13.5" customHeight="1">
      <c r="A946" s="120"/>
      <c r="B946" s="120"/>
      <c r="C946" s="120"/>
      <c r="D946" s="120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  <c r="AA946" s="120"/>
      <c r="AB946" s="120"/>
      <c r="AC946" s="120"/>
      <c r="AD946" s="120"/>
      <c r="AE946" s="120"/>
      <c r="AF946" s="120"/>
    </row>
    <row r="947" ht="13.5" customHeight="1">
      <c r="A947" s="120"/>
      <c r="B947" s="120"/>
      <c r="C947" s="120"/>
      <c r="D947" s="120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  <c r="AA947" s="120"/>
      <c r="AB947" s="120"/>
      <c r="AC947" s="120"/>
      <c r="AD947" s="120"/>
      <c r="AE947" s="120"/>
      <c r="AF947" s="120"/>
    </row>
    <row r="948" ht="13.5" customHeight="1">
      <c r="A948" s="120"/>
      <c r="B948" s="120"/>
      <c r="C948" s="120"/>
      <c r="D948" s="120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  <c r="AA948" s="120"/>
      <c r="AB948" s="120"/>
      <c r="AC948" s="120"/>
      <c r="AD948" s="120"/>
      <c r="AE948" s="120"/>
      <c r="AF948" s="120"/>
    </row>
    <row r="949" ht="13.5" customHeight="1">
      <c r="A949" s="120"/>
      <c r="B949" s="120"/>
      <c r="C949" s="120"/>
      <c r="D949" s="120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  <c r="AA949" s="120"/>
      <c r="AB949" s="120"/>
      <c r="AC949" s="120"/>
      <c r="AD949" s="120"/>
      <c r="AE949" s="120"/>
      <c r="AF949" s="120"/>
    </row>
    <row r="950" ht="13.5" customHeight="1">
      <c r="A950" s="120"/>
      <c r="B950" s="120"/>
      <c r="C950" s="120"/>
      <c r="D950" s="120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  <c r="AA950" s="120"/>
      <c r="AB950" s="120"/>
      <c r="AC950" s="120"/>
      <c r="AD950" s="120"/>
      <c r="AE950" s="120"/>
      <c r="AF950" s="120"/>
    </row>
    <row r="951" ht="13.5" customHeight="1">
      <c r="A951" s="120"/>
      <c r="B951" s="120"/>
      <c r="C951" s="120"/>
      <c r="D951" s="120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  <c r="AA951" s="120"/>
      <c r="AB951" s="120"/>
      <c r="AC951" s="120"/>
      <c r="AD951" s="120"/>
      <c r="AE951" s="120"/>
      <c r="AF951" s="120"/>
    </row>
    <row r="952" ht="13.5" customHeight="1">
      <c r="A952" s="120"/>
      <c r="B952" s="120"/>
      <c r="C952" s="120"/>
      <c r="D952" s="120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  <c r="AA952" s="120"/>
      <c r="AB952" s="120"/>
      <c r="AC952" s="120"/>
      <c r="AD952" s="120"/>
      <c r="AE952" s="120"/>
      <c r="AF952" s="120"/>
    </row>
    <row r="953" ht="13.5" customHeight="1">
      <c r="A953" s="120"/>
      <c r="B953" s="120"/>
      <c r="C953" s="120"/>
      <c r="D953" s="120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  <c r="AA953" s="120"/>
      <c r="AB953" s="120"/>
      <c r="AC953" s="120"/>
      <c r="AD953" s="120"/>
      <c r="AE953" s="120"/>
      <c r="AF953" s="120"/>
    </row>
    <row r="954" ht="13.5" customHeight="1">
      <c r="A954" s="120"/>
      <c r="B954" s="120"/>
      <c r="C954" s="120"/>
      <c r="D954" s="120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  <c r="AA954" s="120"/>
      <c r="AB954" s="120"/>
      <c r="AC954" s="120"/>
      <c r="AD954" s="120"/>
      <c r="AE954" s="120"/>
      <c r="AF954" s="120"/>
    </row>
    <row r="955" ht="13.5" customHeight="1">
      <c r="A955" s="120"/>
      <c r="B955" s="120"/>
      <c r="C955" s="120"/>
      <c r="D955" s="120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  <c r="AA955" s="120"/>
      <c r="AB955" s="120"/>
      <c r="AC955" s="120"/>
      <c r="AD955" s="120"/>
      <c r="AE955" s="120"/>
      <c r="AF955" s="120"/>
    </row>
    <row r="956" ht="13.5" customHeight="1">
      <c r="A956" s="120"/>
      <c r="B956" s="120"/>
      <c r="C956" s="120"/>
      <c r="D956" s="120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  <c r="AA956" s="120"/>
      <c r="AB956" s="120"/>
      <c r="AC956" s="120"/>
      <c r="AD956" s="120"/>
      <c r="AE956" s="120"/>
      <c r="AF956" s="120"/>
    </row>
    <row r="957" ht="13.5" customHeight="1">
      <c r="A957" s="120"/>
      <c r="B957" s="120"/>
      <c r="C957" s="120"/>
      <c r="D957" s="120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  <c r="AA957" s="120"/>
      <c r="AB957" s="120"/>
      <c r="AC957" s="120"/>
      <c r="AD957" s="120"/>
      <c r="AE957" s="120"/>
      <c r="AF957" s="120"/>
    </row>
    <row r="958" ht="13.5" customHeight="1">
      <c r="A958" s="120"/>
      <c r="B958" s="120"/>
      <c r="C958" s="120"/>
      <c r="D958" s="120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  <c r="AA958" s="120"/>
      <c r="AB958" s="120"/>
      <c r="AC958" s="120"/>
      <c r="AD958" s="120"/>
      <c r="AE958" s="120"/>
      <c r="AF958" s="120"/>
    </row>
    <row r="959" ht="13.5" customHeight="1">
      <c r="A959" s="120"/>
      <c r="B959" s="120"/>
      <c r="C959" s="120"/>
      <c r="D959" s="120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  <c r="AA959" s="120"/>
      <c r="AB959" s="120"/>
      <c r="AC959" s="120"/>
      <c r="AD959" s="120"/>
      <c r="AE959" s="120"/>
      <c r="AF959" s="120"/>
    </row>
    <row r="960" ht="13.5" customHeight="1">
      <c r="A960" s="120"/>
      <c r="B960" s="120"/>
      <c r="C960" s="120"/>
      <c r="D960" s="120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  <c r="AA960" s="120"/>
      <c r="AB960" s="120"/>
      <c r="AC960" s="120"/>
      <c r="AD960" s="120"/>
      <c r="AE960" s="120"/>
      <c r="AF960" s="120"/>
    </row>
    <row r="961" ht="13.5" customHeight="1">
      <c r="A961" s="120"/>
      <c r="B961" s="120"/>
      <c r="C961" s="120"/>
      <c r="D961" s="120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  <c r="AA961" s="120"/>
      <c r="AB961" s="120"/>
      <c r="AC961" s="120"/>
      <c r="AD961" s="120"/>
      <c r="AE961" s="120"/>
      <c r="AF961" s="120"/>
    </row>
    <row r="962" ht="13.5" customHeight="1">
      <c r="A962" s="120"/>
      <c r="B962" s="120"/>
      <c r="C962" s="120"/>
      <c r="D962" s="120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  <c r="AA962" s="120"/>
      <c r="AB962" s="120"/>
      <c r="AC962" s="120"/>
      <c r="AD962" s="120"/>
      <c r="AE962" s="120"/>
      <c r="AF962" s="120"/>
    </row>
    <row r="963" ht="13.5" customHeight="1">
      <c r="A963" s="120"/>
      <c r="B963" s="120"/>
      <c r="C963" s="120"/>
      <c r="D963" s="120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  <c r="AA963" s="120"/>
      <c r="AB963" s="120"/>
      <c r="AC963" s="120"/>
      <c r="AD963" s="120"/>
      <c r="AE963" s="120"/>
      <c r="AF963" s="120"/>
    </row>
    <row r="964" ht="13.5" customHeight="1">
      <c r="A964" s="120"/>
      <c r="B964" s="120"/>
      <c r="C964" s="120"/>
      <c r="D964" s="120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  <c r="AA964" s="120"/>
      <c r="AB964" s="120"/>
      <c r="AC964" s="120"/>
      <c r="AD964" s="120"/>
      <c r="AE964" s="120"/>
      <c r="AF964" s="120"/>
    </row>
    <row r="965" ht="13.5" customHeight="1">
      <c r="A965" s="120"/>
      <c r="B965" s="120"/>
      <c r="C965" s="120"/>
      <c r="D965" s="120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  <c r="AA965" s="120"/>
      <c r="AB965" s="120"/>
      <c r="AC965" s="120"/>
      <c r="AD965" s="120"/>
      <c r="AE965" s="120"/>
      <c r="AF965" s="120"/>
    </row>
    <row r="966" ht="13.5" customHeight="1">
      <c r="A966" s="120"/>
      <c r="B966" s="120"/>
      <c r="C966" s="120"/>
      <c r="D966" s="120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  <c r="AA966" s="120"/>
      <c r="AB966" s="120"/>
      <c r="AC966" s="120"/>
      <c r="AD966" s="120"/>
      <c r="AE966" s="120"/>
      <c r="AF966" s="120"/>
    </row>
    <row r="967" ht="13.5" customHeight="1">
      <c r="A967" s="120"/>
      <c r="B967" s="120"/>
      <c r="C967" s="120"/>
      <c r="D967" s="120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  <c r="AA967" s="120"/>
      <c r="AB967" s="120"/>
      <c r="AC967" s="120"/>
      <c r="AD967" s="120"/>
      <c r="AE967" s="120"/>
      <c r="AF967" s="120"/>
    </row>
    <row r="968" ht="13.5" customHeight="1">
      <c r="A968" s="120"/>
      <c r="B968" s="120"/>
      <c r="C968" s="120"/>
      <c r="D968" s="120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  <c r="AA968" s="120"/>
      <c r="AB968" s="120"/>
      <c r="AC968" s="120"/>
      <c r="AD968" s="120"/>
      <c r="AE968" s="120"/>
      <c r="AF968" s="120"/>
    </row>
    <row r="969" ht="13.5" customHeight="1">
      <c r="A969" s="120"/>
      <c r="B969" s="120"/>
      <c r="C969" s="120"/>
      <c r="D969" s="120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  <c r="AA969" s="120"/>
      <c r="AB969" s="120"/>
      <c r="AC969" s="120"/>
      <c r="AD969" s="120"/>
      <c r="AE969" s="120"/>
      <c r="AF969" s="120"/>
    </row>
    <row r="970" ht="13.5" customHeight="1">
      <c r="A970" s="120"/>
      <c r="B970" s="120"/>
      <c r="C970" s="120"/>
      <c r="D970" s="120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  <c r="AA970" s="120"/>
      <c r="AB970" s="120"/>
      <c r="AC970" s="120"/>
      <c r="AD970" s="120"/>
      <c r="AE970" s="120"/>
      <c r="AF970" s="120"/>
    </row>
    <row r="971" ht="13.5" customHeight="1">
      <c r="A971" s="120"/>
      <c r="B971" s="120"/>
      <c r="C971" s="120"/>
      <c r="D971" s="120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  <c r="AA971" s="120"/>
      <c r="AB971" s="120"/>
      <c r="AC971" s="120"/>
      <c r="AD971" s="120"/>
      <c r="AE971" s="120"/>
      <c r="AF971" s="120"/>
    </row>
    <row r="972" ht="13.5" customHeight="1">
      <c r="A972" s="120"/>
      <c r="B972" s="120"/>
      <c r="C972" s="120"/>
      <c r="D972" s="120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  <c r="AA972" s="120"/>
      <c r="AB972" s="120"/>
      <c r="AC972" s="120"/>
      <c r="AD972" s="120"/>
      <c r="AE972" s="120"/>
      <c r="AF972" s="120"/>
    </row>
    <row r="973" ht="13.5" customHeight="1">
      <c r="A973" s="120"/>
      <c r="B973" s="120"/>
      <c r="C973" s="120"/>
      <c r="D973" s="120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  <c r="AA973" s="120"/>
      <c r="AB973" s="120"/>
      <c r="AC973" s="120"/>
      <c r="AD973" s="120"/>
      <c r="AE973" s="120"/>
      <c r="AF973" s="120"/>
    </row>
    <row r="974" ht="13.5" customHeight="1">
      <c r="A974" s="120"/>
      <c r="B974" s="120"/>
      <c r="C974" s="120"/>
      <c r="D974" s="120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  <c r="AA974" s="120"/>
      <c r="AB974" s="120"/>
      <c r="AC974" s="120"/>
      <c r="AD974" s="120"/>
      <c r="AE974" s="120"/>
      <c r="AF974" s="120"/>
    </row>
    <row r="975" ht="13.5" customHeight="1">
      <c r="A975" s="120"/>
      <c r="B975" s="120"/>
      <c r="C975" s="120"/>
      <c r="D975" s="120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  <c r="AA975" s="120"/>
      <c r="AB975" s="120"/>
      <c r="AC975" s="120"/>
      <c r="AD975" s="120"/>
      <c r="AE975" s="120"/>
      <c r="AF975" s="120"/>
    </row>
    <row r="976" ht="13.5" customHeight="1">
      <c r="A976" s="120"/>
      <c r="B976" s="120"/>
      <c r="C976" s="120"/>
      <c r="D976" s="120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  <c r="AA976" s="120"/>
      <c r="AB976" s="120"/>
      <c r="AC976" s="120"/>
      <c r="AD976" s="120"/>
      <c r="AE976" s="120"/>
      <c r="AF976" s="120"/>
    </row>
    <row r="977" ht="13.5" customHeight="1">
      <c r="A977" s="120"/>
      <c r="B977" s="120"/>
      <c r="C977" s="120"/>
      <c r="D977" s="120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  <c r="AA977" s="120"/>
      <c r="AB977" s="120"/>
      <c r="AC977" s="120"/>
      <c r="AD977" s="120"/>
      <c r="AE977" s="120"/>
      <c r="AF977" s="120"/>
    </row>
    <row r="978" ht="13.5" customHeight="1">
      <c r="A978" s="120"/>
      <c r="B978" s="120"/>
      <c r="C978" s="120"/>
      <c r="D978" s="120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  <c r="AA978" s="120"/>
      <c r="AB978" s="120"/>
      <c r="AC978" s="120"/>
      <c r="AD978" s="120"/>
      <c r="AE978" s="120"/>
      <c r="AF978" s="120"/>
    </row>
    <row r="979" ht="13.5" customHeight="1">
      <c r="A979" s="120"/>
      <c r="B979" s="120"/>
      <c r="C979" s="120"/>
      <c r="D979" s="120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  <c r="AA979" s="120"/>
      <c r="AB979" s="120"/>
      <c r="AC979" s="120"/>
      <c r="AD979" s="120"/>
      <c r="AE979" s="120"/>
      <c r="AF979" s="120"/>
    </row>
    <row r="980" ht="13.5" customHeight="1">
      <c r="A980" s="120"/>
      <c r="B980" s="120"/>
      <c r="C980" s="120"/>
      <c r="D980" s="120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  <c r="AA980" s="120"/>
      <c r="AB980" s="120"/>
      <c r="AC980" s="120"/>
      <c r="AD980" s="120"/>
      <c r="AE980" s="120"/>
      <c r="AF980" s="120"/>
    </row>
    <row r="981" ht="13.5" customHeight="1">
      <c r="A981" s="120"/>
      <c r="B981" s="120"/>
      <c r="C981" s="120"/>
      <c r="D981" s="120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  <c r="AA981" s="120"/>
      <c r="AB981" s="120"/>
      <c r="AC981" s="120"/>
      <c r="AD981" s="120"/>
      <c r="AE981" s="120"/>
      <c r="AF981" s="120"/>
    </row>
    <row r="982" ht="13.5" customHeight="1">
      <c r="A982" s="120"/>
      <c r="B982" s="120"/>
      <c r="C982" s="120"/>
      <c r="D982" s="120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  <c r="AA982" s="120"/>
      <c r="AB982" s="120"/>
      <c r="AC982" s="120"/>
      <c r="AD982" s="120"/>
      <c r="AE982" s="120"/>
      <c r="AF982" s="120"/>
    </row>
    <row r="983" ht="13.5" customHeight="1">
      <c r="A983" s="120"/>
      <c r="B983" s="120"/>
      <c r="C983" s="120"/>
      <c r="D983" s="120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  <c r="AA983" s="120"/>
      <c r="AB983" s="120"/>
      <c r="AC983" s="120"/>
      <c r="AD983" s="120"/>
      <c r="AE983" s="120"/>
      <c r="AF983" s="120"/>
    </row>
    <row r="984" ht="13.5" customHeight="1">
      <c r="A984" s="120"/>
      <c r="B984" s="120"/>
      <c r="C984" s="120"/>
      <c r="D984" s="120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  <c r="AA984" s="120"/>
      <c r="AB984" s="120"/>
      <c r="AC984" s="120"/>
      <c r="AD984" s="120"/>
      <c r="AE984" s="120"/>
      <c r="AF984" s="120"/>
    </row>
    <row r="985" ht="13.5" customHeight="1">
      <c r="A985" s="120"/>
      <c r="B985" s="120"/>
      <c r="C985" s="120"/>
      <c r="D985" s="120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  <c r="AA985" s="120"/>
      <c r="AB985" s="120"/>
      <c r="AC985" s="120"/>
      <c r="AD985" s="120"/>
      <c r="AE985" s="120"/>
      <c r="AF985" s="120"/>
    </row>
    <row r="986" ht="13.5" customHeight="1">
      <c r="A986" s="120"/>
      <c r="B986" s="120"/>
      <c r="C986" s="120"/>
      <c r="D986" s="120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  <c r="AA986" s="120"/>
      <c r="AB986" s="120"/>
      <c r="AC986" s="120"/>
      <c r="AD986" s="120"/>
      <c r="AE986" s="120"/>
      <c r="AF986" s="120"/>
    </row>
    <row r="987" ht="13.5" customHeight="1">
      <c r="A987" s="120"/>
      <c r="B987" s="120"/>
      <c r="C987" s="120"/>
      <c r="D987" s="120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  <c r="AA987" s="120"/>
      <c r="AB987" s="120"/>
      <c r="AC987" s="120"/>
      <c r="AD987" s="120"/>
      <c r="AE987" s="120"/>
      <c r="AF987" s="120"/>
    </row>
    <row r="988" ht="13.5" customHeight="1">
      <c r="A988" s="120"/>
      <c r="B988" s="120"/>
      <c r="C988" s="120"/>
      <c r="D988" s="120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  <c r="AA988" s="120"/>
      <c r="AB988" s="120"/>
      <c r="AC988" s="120"/>
      <c r="AD988" s="120"/>
      <c r="AE988" s="120"/>
      <c r="AF988" s="120"/>
    </row>
    <row r="989" ht="13.5" customHeight="1">
      <c r="A989" s="120"/>
      <c r="B989" s="120"/>
      <c r="C989" s="120"/>
      <c r="D989" s="120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  <c r="AA989" s="120"/>
      <c r="AB989" s="120"/>
      <c r="AC989" s="120"/>
      <c r="AD989" s="120"/>
      <c r="AE989" s="120"/>
      <c r="AF989" s="120"/>
    </row>
    <row r="990" ht="13.5" customHeight="1">
      <c r="A990" s="120"/>
      <c r="B990" s="120"/>
      <c r="C990" s="120"/>
      <c r="D990" s="120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  <c r="AA990" s="120"/>
      <c r="AB990" s="120"/>
      <c r="AC990" s="120"/>
      <c r="AD990" s="120"/>
      <c r="AE990" s="120"/>
      <c r="AF990" s="120"/>
    </row>
    <row r="991" ht="13.5" customHeight="1">
      <c r="A991" s="120"/>
      <c r="B991" s="120"/>
      <c r="C991" s="120"/>
      <c r="D991" s="120"/>
      <c r="E991" s="120"/>
      <c r="F991" s="120"/>
      <c r="G991" s="120"/>
      <c r="H991" s="120"/>
      <c r="I991" s="120"/>
      <c r="J991" s="120"/>
      <c r="K991" s="120"/>
      <c r="L991" s="120"/>
      <c r="M991" s="120"/>
      <c r="N991" s="120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  <c r="AA991" s="120"/>
      <c r="AB991" s="120"/>
      <c r="AC991" s="120"/>
      <c r="AD991" s="120"/>
      <c r="AE991" s="120"/>
      <c r="AF991" s="120"/>
    </row>
    <row r="992" ht="13.5" customHeight="1">
      <c r="A992" s="120"/>
      <c r="B992" s="120"/>
      <c r="C992" s="120"/>
      <c r="D992" s="120"/>
      <c r="E992" s="120"/>
      <c r="F992" s="120"/>
      <c r="G992" s="120"/>
      <c r="H992" s="120"/>
      <c r="I992" s="120"/>
      <c r="J992" s="120"/>
      <c r="K992" s="120"/>
      <c r="L992" s="120"/>
      <c r="M992" s="120"/>
      <c r="N992" s="120"/>
      <c r="O992" s="120"/>
      <c r="P992" s="120"/>
      <c r="Q992" s="120"/>
      <c r="R992" s="120"/>
      <c r="S992" s="120"/>
      <c r="T992" s="120"/>
      <c r="U992" s="120"/>
      <c r="V992" s="120"/>
      <c r="W992" s="120"/>
      <c r="X992" s="120"/>
      <c r="Y992" s="120"/>
      <c r="Z992" s="120"/>
      <c r="AA992" s="120"/>
      <c r="AB992" s="120"/>
      <c r="AC992" s="120"/>
      <c r="AD992" s="120"/>
      <c r="AE992" s="120"/>
      <c r="AF992" s="120"/>
    </row>
    <row r="993" ht="13.5" customHeight="1">
      <c r="A993" s="120"/>
      <c r="B993" s="120"/>
      <c r="C993" s="120"/>
      <c r="D993" s="120"/>
      <c r="E993" s="120"/>
      <c r="F993" s="120"/>
      <c r="G993" s="120"/>
      <c r="H993" s="120"/>
      <c r="I993" s="120"/>
      <c r="J993" s="120"/>
      <c r="K993" s="120"/>
      <c r="L993" s="120"/>
      <c r="M993" s="120"/>
      <c r="N993" s="120"/>
      <c r="O993" s="120"/>
      <c r="P993" s="120"/>
      <c r="Q993" s="120"/>
      <c r="R993" s="120"/>
      <c r="S993" s="120"/>
      <c r="T993" s="120"/>
      <c r="U993" s="120"/>
      <c r="V993" s="120"/>
      <c r="W993" s="120"/>
      <c r="X993" s="120"/>
      <c r="Y993" s="120"/>
      <c r="Z993" s="120"/>
      <c r="AA993" s="120"/>
      <c r="AB993" s="120"/>
      <c r="AC993" s="120"/>
      <c r="AD993" s="120"/>
      <c r="AE993" s="120"/>
      <c r="AF993" s="120"/>
    </row>
    <row r="994" ht="13.5" customHeight="1">
      <c r="A994" s="120"/>
      <c r="B994" s="120"/>
      <c r="C994" s="120"/>
      <c r="D994" s="120"/>
      <c r="E994" s="120"/>
      <c r="F994" s="120"/>
      <c r="G994" s="120"/>
      <c r="H994" s="120"/>
      <c r="I994" s="120"/>
      <c r="J994" s="120"/>
      <c r="K994" s="120"/>
      <c r="L994" s="120"/>
      <c r="M994" s="120"/>
      <c r="N994" s="120"/>
      <c r="O994" s="120"/>
      <c r="P994" s="120"/>
      <c r="Q994" s="120"/>
      <c r="R994" s="120"/>
      <c r="S994" s="120"/>
      <c r="T994" s="120"/>
      <c r="U994" s="120"/>
      <c r="V994" s="120"/>
      <c r="W994" s="120"/>
      <c r="X994" s="120"/>
      <c r="Y994" s="120"/>
      <c r="Z994" s="120"/>
      <c r="AA994" s="120"/>
      <c r="AB994" s="120"/>
      <c r="AC994" s="120"/>
      <c r="AD994" s="120"/>
      <c r="AE994" s="120"/>
      <c r="AF994" s="120"/>
    </row>
    <row r="995" ht="13.5" customHeight="1">
      <c r="A995" s="120"/>
      <c r="B995" s="120"/>
      <c r="C995" s="120"/>
      <c r="D995" s="120"/>
      <c r="E995" s="120"/>
      <c r="F995" s="120"/>
      <c r="G995" s="120"/>
      <c r="H995" s="120"/>
      <c r="I995" s="120"/>
      <c r="J995" s="120"/>
      <c r="K995" s="120"/>
      <c r="L995" s="120"/>
      <c r="M995" s="120"/>
      <c r="N995" s="120"/>
      <c r="O995" s="120"/>
      <c r="P995" s="120"/>
      <c r="Q995" s="120"/>
      <c r="R995" s="120"/>
      <c r="S995" s="120"/>
      <c r="T995" s="120"/>
      <c r="U995" s="120"/>
      <c r="V995" s="120"/>
      <c r="W995" s="120"/>
      <c r="X995" s="120"/>
      <c r="Y995" s="120"/>
      <c r="Z995" s="120"/>
      <c r="AA995" s="120"/>
      <c r="AB995" s="120"/>
      <c r="AC995" s="120"/>
      <c r="AD995" s="120"/>
      <c r="AE995" s="120"/>
      <c r="AF995" s="120"/>
    </row>
    <row r="996" ht="13.5" customHeight="1">
      <c r="A996" s="120"/>
      <c r="B996" s="120"/>
      <c r="C996" s="120"/>
      <c r="D996" s="120"/>
      <c r="E996" s="120"/>
      <c r="F996" s="120"/>
      <c r="G996" s="120"/>
      <c r="H996" s="120"/>
      <c r="I996" s="120"/>
      <c r="J996" s="120"/>
      <c r="K996" s="120"/>
      <c r="L996" s="120"/>
      <c r="M996" s="120"/>
      <c r="N996" s="120"/>
      <c r="O996" s="120"/>
      <c r="P996" s="120"/>
      <c r="Q996" s="120"/>
      <c r="R996" s="120"/>
      <c r="S996" s="120"/>
      <c r="T996" s="120"/>
      <c r="U996" s="120"/>
      <c r="V996" s="120"/>
      <c r="W996" s="120"/>
      <c r="X996" s="120"/>
      <c r="Y996" s="120"/>
      <c r="Z996" s="120"/>
      <c r="AA996" s="120"/>
      <c r="AB996" s="120"/>
      <c r="AC996" s="120"/>
      <c r="AD996" s="120"/>
      <c r="AE996" s="120"/>
      <c r="AF996" s="120"/>
    </row>
    <row r="997" ht="13.5" customHeight="1">
      <c r="A997" s="120"/>
      <c r="B997" s="120"/>
      <c r="C997" s="120"/>
      <c r="D997" s="120"/>
      <c r="E997" s="120"/>
      <c r="F997" s="120"/>
      <c r="G997" s="120"/>
      <c r="H997" s="120"/>
      <c r="I997" s="120"/>
      <c r="J997" s="120"/>
      <c r="K997" s="120"/>
      <c r="L997" s="120"/>
      <c r="M997" s="120"/>
      <c r="N997" s="120"/>
      <c r="O997" s="120"/>
      <c r="P997" s="120"/>
      <c r="Q997" s="120"/>
      <c r="R997" s="120"/>
      <c r="S997" s="120"/>
      <c r="T997" s="120"/>
      <c r="U997" s="120"/>
      <c r="V997" s="120"/>
      <c r="W997" s="120"/>
      <c r="X997" s="120"/>
      <c r="Y997" s="120"/>
      <c r="Z997" s="120"/>
      <c r="AA997" s="120"/>
      <c r="AB997" s="120"/>
      <c r="AC997" s="120"/>
      <c r="AD997" s="120"/>
      <c r="AE997" s="120"/>
      <c r="AF997" s="120"/>
    </row>
    <row r="998" ht="13.5" customHeight="1">
      <c r="A998" s="120"/>
      <c r="B998" s="120"/>
      <c r="C998" s="120"/>
      <c r="D998" s="120"/>
      <c r="E998" s="120"/>
      <c r="F998" s="120"/>
      <c r="G998" s="120"/>
      <c r="H998" s="120"/>
      <c r="I998" s="120"/>
      <c r="J998" s="120"/>
      <c r="K998" s="120"/>
      <c r="L998" s="120"/>
      <c r="M998" s="120"/>
      <c r="N998" s="120"/>
      <c r="O998" s="120"/>
      <c r="P998" s="120"/>
      <c r="Q998" s="120"/>
      <c r="R998" s="120"/>
      <c r="S998" s="120"/>
      <c r="T998" s="120"/>
      <c r="U998" s="120"/>
      <c r="V998" s="120"/>
      <c r="W998" s="120"/>
      <c r="X998" s="120"/>
      <c r="Y998" s="120"/>
      <c r="Z998" s="120"/>
      <c r="AA998" s="120"/>
      <c r="AB998" s="120"/>
      <c r="AC998" s="120"/>
      <c r="AD998" s="120"/>
      <c r="AE998" s="120"/>
      <c r="AF998" s="120"/>
    </row>
    <row r="999" ht="13.5" customHeight="1">
      <c r="A999" s="120"/>
      <c r="B999" s="120"/>
      <c r="C999" s="120"/>
      <c r="D999" s="120"/>
      <c r="E999" s="120"/>
      <c r="F999" s="120"/>
      <c r="G999" s="120"/>
      <c r="H999" s="120"/>
      <c r="I999" s="120"/>
      <c r="J999" s="120"/>
      <c r="K999" s="120"/>
      <c r="L999" s="120"/>
      <c r="M999" s="120"/>
      <c r="N999" s="120"/>
      <c r="O999" s="120"/>
      <c r="P999" s="120"/>
      <c r="Q999" s="120"/>
      <c r="R999" s="120"/>
      <c r="S999" s="120"/>
      <c r="T999" s="120"/>
      <c r="U999" s="120"/>
      <c r="V999" s="120"/>
      <c r="W999" s="120"/>
      <c r="X999" s="120"/>
      <c r="Y999" s="120"/>
      <c r="Z999" s="120"/>
      <c r="AA999" s="120"/>
      <c r="AB999" s="120"/>
      <c r="AC999" s="120"/>
      <c r="AD999" s="120"/>
      <c r="AE999" s="120"/>
      <c r="AF999" s="120"/>
    </row>
    <row r="1000" ht="13.5" customHeight="1">
      <c r="A1000" s="120"/>
      <c r="B1000" s="120"/>
      <c r="C1000" s="120"/>
      <c r="D1000" s="120"/>
      <c r="E1000" s="120"/>
      <c r="F1000" s="120"/>
      <c r="G1000" s="120"/>
      <c r="H1000" s="120"/>
      <c r="I1000" s="120"/>
      <c r="J1000" s="120"/>
      <c r="K1000" s="120"/>
      <c r="L1000" s="120"/>
      <c r="M1000" s="120"/>
      <c r="N1000" s="120"/>
      <c r="O1000" s="120"/>
      <c r="P1000" s="120"/>
      <c r="Q1000" s="120"/>
      <c r="R1000" s="120"/>
      <c r="S1000" s="120"/>
      <c r="T1000" s="120"/>
      <c r="U1000" s="120"/>
      <c r="V1000" s="120"/>
      <c r="W1000" s="120"/>
      <c r="X1000" s="120"/>
      <c r="Y1000" s="120"/>
      <c r="Z1000" s="120"/>
      <c r="AA1000" s="120"/>
      <c r="AB1000" s="120"/>
      <c r="AC1000" s="120"/>
      <c r="AD1000" s="120"/>
      <c r="AE1000" s="120"/>
      <c r="AF1000" s="120"/>
    </row>
  </sheetData>
  <mergeCells count="40">
    <mergeCell ref="AB10:AF10"/>
    <mergeCell ref="AB11:AF11"/>
    <mergeCell ref="AA13:AA17"/>
    <mergeCell ref="AB20:AF20"/>
    <mergeCell ref="AB21:AF21"/>
    <mergeCell ref="AA32:AA36"/>
    <mergeCell ref="B2:C2"/>
    <mergeCell ref="G6:R6"/>
    <mergeCell ref="U6:AF6"/>
    <mergeCell ref="G10:K10"/>
    <mergeCell ref="U10:Y10"/>
    <mergeCell ref="G11:K11"/>
    <mergeCell ref="U11:Y11"/>
    <mergeCell ref="N10:R10"/>
    <mergeCell ref="N11:R11"/>
    <mergeCell ref="F13:F17"/>
    <mergeCell ref="M13:M17"/>
    <mergeCell ref="T13:T17"/>
    <mergeCell ref="N20:R20"/>
    <mergeCell ref="U20:Y20"/>
    <mergeCell ref="F23:F27"/>
    <mergeCell ref="G29:K29"/>
    <mergeCell ref="G30:K30"/>
    <mergeCell ref="F32:F36"/>
    <mergeCell ref="M32:M36"/>
    <mergeCell ref="T32:T36"/>
    <mergeCell ref="D46:J46"/>
    <mergeCell ref="N29:R29"/>
    <mergeCell ref="U29:Y29"/>
    <mergeCell ref="AB29:AF29"/>
    <mergeCell ref="N30:R30"/>
    <mergeCell ref="U30:Y30"/>
    <mergeCell ref="AB30:AF30"/>
    <mergeCell ref="G20:K20"/>
    <mergeCell ref="G21:K21"/>
    <mergeCell ref="N21:R21"/>
    <mergeCell ref="U21:Y21"/>
    <mergeCell ref="M23:M27"/>
    <mergeCell ref="T23:T27"/>
    <mergeCell ref="AA23:AA2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2020-08-16T21:25:18Z</dcterms:created>
  <dc:creator>Nicole</dc:creator>
</cp:coreProperties>
</file>